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견적서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'견적서'!$A$1:$I$30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&quot;₩&quot;#,##0"/>
    <numFmt numFmtId="166" formatCode="[DBNum4][$-412]&quot;一&quot;&quot;金&quot;General&quot;원&quot;&quot;整&quot;"/>
  </numFmts>
  <fonts count="13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0"/>
    </font>
    <font>
      <name val="돋움"/>
      <charset val="129"/>
      <family val="3"/>
      <b val="1"/>
      <color rgb="FF000000"/>
      <sz val="11"/>
    </font>
    <font>
      <name val="돋움"/>
      <charset val="129"/>
      <family val="3"/>
      <b val="1"/>
      <color rgb="FF000000"/>
      <sz val="13"/>
    </font>
    <font>
      <name val="돋움"/>
      <charset val="129"/>
      <family val="3"/>
      <color rgb="FF000000"/>
      <sz val="8"/>
    </font>
    <font>
      <name val="돋움"/>
      <charset val="129"/>
      <family val="3"/>
      <b val="1"/>
      <color rgb="FF000000"/>
      <sz val="10"/>
    </font>
    <font>
      <name val="돋움"/>
      <charset val="129"/>
      <family val="3"/>
      <b val="1"/>
      <color rgb="FF000000"/>
      <sz val="12"/>
    </font>
    <font>
      <name val="돋움"/>
      <charset val="129"/>
      <family val="3"/>
      <color rgb="FF000000"/>
      <sz val="9"/>
    </font>
    <font>
      <name val="한양해서"/>
      <charset val="129"/>
      <family val="3"/>
      <b val="1"/>
      <color rgb="FF000000"/>
      <sz val="30"/>
    </font>
    <font>
      <name val="한양해서"/>
      <charset val="129"/>
      <family val="3"/>
      <b val="1"/>
      <color rgb="FF000000"/>
      <sz val="13"/>
    </font>
    <font>
      <name val="돋움"/>
      <charset val="129"/>
      <family val="3"/>
      <sz val="8"/>
    </font>
    <font>
      <name val="돋움"/>
      <charset val="129"/>
      <family val="3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CCFFCC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1" fillId="0" borderId="0"/>
    <xf numFmtId="41" fontId="1" fillId="0" borderId="0"/>
    <xf numFmtId="42" fontId="1" fillId="0" borderId="0"/>
  </cellStyleXfs>
  <cellXfs count="108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1">
      <alignment horizontal="right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3" fillId="2" borderId="4" applyAlignment="1" pivotButton="0" quotePrefix="0" xfId="1">
      <alignment horizontal="center" vertical="center"/>
    </xf>
    <xf numFmtId="0" fontId="3" fillId="2" borderId="6" applyAlignment="1" pivotButton="0" quotePrefix="0" xfId="1">
      <alignment horizontal="center" vertical="center"/>
    </xf>
    <xf numFmtId="0" fontId="6" fillId="0" borderId="13" applyAlignment="1" pivotButton="0" quotePrefix="0" xfId="1">
      <alignment vertical="center"/>
    </xf>
    <xf numFmtId="0" fontId="1" fillId="0" borderId="16" pivotButton="0" quotePrefix="0" xfId="1"/>
    <xf numFmtId="0" fontId="2" fillId="0" borderId="6" applyAlignment="1" pivotButton="0" quotePrefix="0" xfId="1">
      <alignment horizontal="center" vertical="center"/>
    </xf>
    <xf numFmtId="0" fontId="0" fillId="0" borderId="0" pivotButton="0" quotePrefix="0" xfId="0"/>
    <xf numFmtId="0" fontId="2" fillId="0" borderId="5" applyAlignment="1" pivotButton="0" quotePrefix="0" xfId="2">
      <alignment vertical="center"/>
    </xf>
    <xf numFmtId="0" fontId="1" fillId="0" borderId="5" applyAlignment="1" pivotButton="0" quotePrefix="0" xfId="1">
      <alignment vertical="center"/>
    </xf>
    <xf numFmtId="0" fontId="3" fillId="2" borderId="5" applyAlignment="1" pivotButton="0" quotePrefix="0" xfId="1">
      <alignment horizontal="center" vertical="center"/>
    </xf>
    <xf numFmtId="0" fontId="3" fillId="0" borderId="4" applyAlignment="1" pivotButton="0" quotePrefix="0" xfId="1">
      <alignment horizontal="left" vertical="center" shrinkToFit="1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3" fillId="2" borderId="10" applyAlignment="1" pivotButton="0" quotePrefix="0" xfId="2">
      <alignment horizontal="center" vertical="center"/>
    </xf>
    <xf numFmtId="164" fontId="3" fillId="2" borderId="11" applyAlignment="1" pivotButton="0" quotePrefix="0" xfId="2">
      <alignment horizontal="center" vertical="center"/>
    </xf>
    <xf numFmtId="164" fontId="5" fillId="0" borderId="2" applyAlignment="1" pivotButton="0" quotePrefix="0" xfId="2">
      <alignment horizontal="center" vertical="center"/>
    </xf>
    <xf numFmtId="164" fontId="6" fillId="2" borderId="2" applyAlignment="1" pivotButton="0" quotePrefix="0" xfId="2">
      <alignment horizontal="center" vertical="center" wrapText="1"/>
    </xf>
    <xf numFmtId="164" fontId="3" fillId="2" borderId="12" applyAlignment="1" pivotButton="0" quotePrefix="0" xfId="2">
      <alignment horizontal="center" vertical="center"/>
    </xf>
    <xf numFmtId="164" fontId="1" fillId="0" borderId="16" applyAlignment="1" pivotButton="0" quotePrefix="0" xfId="2">
      <alignment horizontal="center" vertical="center"/>
    </xf>
    <xf numFmtId="164" fontId="3" fillId="2" borderId="5" applyAlignment="1" pivotButton="0" quotePrefix="0" xfId="2">
      <alignment horizontal="center" vertical="center"/>
    </xf>
    <xf numFmtId="164" fontId="2" fillId="0" borderId="5" applyAlignment="1" pivotButton="0" quotePrefix="0" xfId="2">
      <alignment horizontal="right" vertical="center"/>
    </xf>
    <xf numFmtId="0" fontId="1" fillId="0" borderId="37" pivotButton="0" quotePrefix="0" xfId="1"/>
    <xf numFmtId="0" fontId="3" fillId="0" borderId="37" applyAlignment="1" pivotButton="0" quotePrefix="0" xfId="1">
      <alignment horizontal="left" vertical="center"/>
    </xf>
    <xf numFmtId="0" fontId="4" fillId="0" borderId="38" applyAlignment="1" pivotButton="0" quotePrefix="0" xfId="1">
      <alignment horizontal="left" vertical="center"/>
    </xf>
    <xf numFmtId="0" fontId="4" fillId="0" borderId="37" applyAlignment="1" pivotButton="0" quotePrefix="0" xfId="1">
      <alignment horizontal="left" vertical="center"/>
    </xf>
    <xf numFmtId="0" fontId="3" fillId="0" borderId="4" applyAlignment="1" pivotButton="0" quotePrefix="0" xfId="0">
      <alignment horizontal="left" vertical="center" shrinkToFit="1"/>
    </xf>
    <xf numFmtId="0" fontId="1" fillId="0" borderId="5" applyAlignment="1" pivotButton="0" quotePrefix="0" xfId="0">
      <alignment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164" fontId="2" fillId="0" borderId="5" applyAlignment="1" pivotButton="0" quotePrefix="0" xfId="3">
      <alignment horizontal="right" vertical="center"/>
    </xf>
    <xf numFmtId="0" fontId="3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" fillId="0" borderId="0" pivotButton="0" quotePrefix="0" xfId="1"/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164" fontId="1" fillId="0" borderId="0" applyAlignment="1" pivotButton="0" quotePrefix="0" xfId="2">
      <alignment horizontal="center" vertical="center"/>
    </xf>
    <xf numFmtId="164" fontId="1" fillId="0" borderId="2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32" pivotButton="0" quotePrefix="0" xfId="0"/>
    <xf numFmtId="0" fontId="2" fillId="0" borderId="5" applyAlignment="1" pivotButton="0" quotePrefix="0" xfId="1">
      <alignment horizontal="center" vertical="center"/>
    </xf>
    <xf numFmtId="0" fontId="0" fillId="0" borderId="14" pivotButton="0" quotePrefix="0" xfId="0"/>
    <xf numFmtId="165" fontId="7" fillId="0" borderId="14" applyAlignment="1" pivotButton="0" quotePrefix="0" xfId="3">
      <alignment horizontal="left" vertical="center" wrapText="1" shrinkToFit="1"/>
    </xf>
    <xf numFmtId="0" fontId="0" fillId="0" borderId="35" pivotButton="0" quotePrefix="0" xfId="0"/>
    <xf numFmtId="164" fontId="1" fillId="0" borderId="18" applyAlignment="1" pivotButton="0" quotePrefix="0" xfId="2">
      <alignment horizontal="center" vertical="center"/>
    </xf>
    <xf numFmtId="0" fontId="0" fillId="0" borderId="25" pivotButton="0" quotePrefix="0" xfId="0"/>
    <xf numFmtId="0" fontId="0" fillId="0" borderId="31" pivotButton="0" quotePrefix="0" xfId="0"/>
    <xf numFmtId="3" fontId="12" fillId="0" borderId="5" applyAlignment="1" pivotButton="0" quotePrefix="0" xfId="2">
      <alignment horizontal="right" vertical="center"/>
    </xf>
    <xf numFmtId="3" fontId="12" fillId="0" borderId="5" applyAlignment="1" pivotButton="0" quotePrefix="0" xfId="0">
      <alignment horizontal="right" vertical="center"/>
    </xf>
    <xf numFmtId="165" fontId="4" fillId="2" borderId="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6" pivotButton="0" quotePrefix="0" xfId="0"/>
    <xf numFmtId="0" fontId="3" fillId="2" borderId="8" applyAlignment="1" pivotButton="0" quotePrefix="0" xfId="0">
      <alignment horizontal="center" vertical="center"/>
    </xf>
    <xf numFmtId="0" fontId="9" fillId="0" borderId="24" applyAlignment="1" pivotButton="0" quotePrefix="0" xfId="1">
      <alignment horizontal="center" vertical="center"/>
    </xf>
    <xf numFmtId="0" fontId="0" fillId="0" borderId="23" pivotButton="0" quotePrefix="0" xfId="0"/>
    <xf numFmtId="0" fontId="0" fillId="0" borderId="15" pivotButton="0" quotePrefix="0" xfId="0"/>
    <xf numFmtId="0" fontId="10" fillId="0" borderId="27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38" applyAlignment="1" pivotButton="0" quotePrefix="0" xfId="1">
      <alignment horizontal="center" vertical="center"/>
    </xf>
    <xf numFmtId="0" fontId="0" fillId="0" borderId="1" pivotButton="0" quotePrefix="0" xfId="0"/>
    <xf numFmtId="166" fontId="7" fillId="0" borderId="5" applyAlignment="1" pivotButton="0" quotePrefix="0" xfId="1">
      <alignment horizontal="left" vertical="center"/>
    </xf>
    <xf numFmtId="0" fontId="0" fillId="0" borderId="30" pivotButton="0" quotePrefix="0" xfId="0"/>
    <xf numFmtId="164" fontId="8" fillId="0" borderId="2" applyAlignment="1" pivotButton="0" quotePrefix="0" xfId="2">
      <alignment horizontal="center" vertical="center"/>
    </xf>
    <xf numFmtId="0" fontId="3" fillId="2" borderId="5" applyAlignment="1" pivotButton="0" quotePrefix="0" xfId="1">
      <alignment horizontal="center" vertical="center"/>
    </xf>
    <xf numFmtId="164" fontId="1" fillId="0" borderId="21" applyAlignment="1" pivotButton="0" quotePrefix="0" xfId="2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7" fillId="0" borderId="22" applyAlignment="1" pivotButton="0" quotePrefix="0" xfId="1">
      <alignment horizontal="left" vertical="center"/>
    </xf>
    <xf numFmtId="0" fontId="0" fillId="0" borderId="29" pivotButton="0" quotePrefix="0" xfId="0"/>
    <xf numFmtId="0" fontId="0" fillId="0" borderId="34" pivotButton="0" quotePrefix="0" xfId="0"/>
    <xf numFmtId="0" fontId="3" fillId="2" borderId="27" applyAlignment="1" pivotButton="0" quotePrefix="0" xfId="1">
      <alignment horizontal="center" vertical="center" wrapText="1"/>
    </xf>
    <xf numFmtId="0" fontId="0" fillId="0" borderId="37" pivotButton="0" quotePrefix="0" xfId="0"/>
    <xf numFmtId="0" fontId="0" fillId="0" borderId="16" pivotButton="0" quotePrefix="0" xfId="0"/>
    <xf numFmtId="0" fontId="0" fillId="0" borderId="38" pivotButton="0" quotePrefix="0" xfId="0"/>
    <xf numFmtId="0" fontId="0" fillId="0" borderId="17" pivotButton="0" quotePrefix="0" xfId="0"/>
    <xf numFmtId="164" fontId="3" fillId="2" borderId="5" applyAlignment="1" pivotButton="0" quotePrefix="0" xfId="2">
      <alignment horizontal="center" vertical="center"/>
    </xf>
    <xf numFmtId="164" fontId="3" fillId="2" borderId="10" applyAlignment="1" pivotButton="0" quotePrefix="0" xfId="2">
      <alignment horizontal="center" vertical="center"/>
    </xf>
    <xf numFmtId="164" fontId="1" fillId="0" borderId="18" applyAlignment="1" pivotButton="0" quotePrefix="0" xfId="2">
      <alignment horizontal="center" vertical="center"/>
    </xf>
    <xf numFmtId="0" fontId="0" fillId="0" borderId="10" pivotButton="0" quotePrefix="0" xfId="0"/>
    <xf numFmtId="164" fontId="3" fillId="2" borderId="11" applyAlignment="1" pivotButton="0" quotePrefix="0" xfId="2">
      <alignment horizontal="center" vertical="center"/>
    </xf>
    <xf numFmtId="164" fontId="5" fillId="0" borderId="2" applyAlignment="1" pivotButton="0" quotePrefix="0" xfId="2">
      <alignment horizontal="center" vertical="center"/>
    </xf>
    <xf numFmtId="164" fontId="6" fillId="2" borderId="2" applyAlignment="1" pivotButton="0" quotePrefix="0" xfId="2">
      <alignment horizontal="center" vertical="center" wrapText="1"/>
    </xf>
    <xf numFmtId="164" fontId="8" fillId="0" borderId="2" applyAlignment="1" pivotButton="0" quotePrefix="0" xfId="2">
      <alignment horizontal="center" vertical="center"/>
    </xf>
    <xf numFmtId="0" fontId="0" fillId="0" borderId="11" pivotButton="0" quotePrefix="0" xfId="0"/>
    <xf numFmtId="164" fontId="1" fillId="0" borderId="2" applyAlignment="1" pivotButton="0" quotePrefix="0" xfId="2">
      <alignment horizontal="center" vertical="center"/>
    </xf>
    <xf numFmtId="164" fontId="3" fillId="2" borderId="12" applyAlignment="1" pivotButton="0" quotePrefix="0" xfId="2">
      <alignment horizontal="center" vertical="center"/>
    </xf>
    <xf numFmtId="164" fontId="1" fillId="0" borderId="21" applyAlignment="1" pivotButton="0" quotePrefix="0" xfId="2">
      <alignment horizontal="center" vertical="center"/>
    </xf>
    <xf numFmtId="0" fontId="0" fillId="0" borderId="12" pivotButton="0" quotePrefix="0" xfId="0"/>
    <xf numFmtId="164" fontId="1" fillId="0" borderId="0" applyAlignment="1" pivotButton="0" quotePrefix="0" xfId="2">
      <alignment horizontal="center" vertical="center"/>
    </xf>
    <xf numFmtId="164" fontId="1" fillId="0" borderId="16" applyAlignment="1" pivotButton="0" quotePrefix="0" xfId="2">
      <alignment horizontal="center" vertical="center"/>
    </xf>
    <xf numFmtId="0" fontId="0" fillId="0" borderId="45" pivotButton="0" quotePrefix="0" xfId="0"/>
    <xf numFmtId="166" fontId="7" fillId="0" borderId="5" applyAlignment="1" pivotButton="0" quotePrefix="0" xfId="1">
      <alignment horizontal="left" vertical="center"/>
    </xf>
    <xf numFmtId="165" fontId="7" fillId="0" borderId="14" applyAlignment="1" pivotButton="0" quotePrefix="0" xfId="3">
      <alignment horizontal="left" vertical="center" wrapText="1" shrinkToFit="1"/>
    </xf>
    <xf numFmtId="164" fontId="3" fillId="2" borderId="5" applyAlignment="1" pivotButton="0" quotePrefix="0" xfId="2">
      <alignment horizontal="center" vertical="center"/>
    </xf>
    <xf numFmtId="164" fontId="2" fillId="0" borderId="5" applyAlignment="1" pivotButton="0" quotePrefix="0" xfId="2">
      <alignment horizontal="right" vertical="center"/>
    </xf>
    <xf numFmtId="164" fontId="2" fillId="0" borderId="5" applyAlignment="1" pivotButton="0" quotePrefix="0" xfId="3">
      <alignment horizontal="right" vertical="center"/>
    </xf>
    <xf numFmtId="165" fontId="4" fillId="2" borderId="8" applyAlignment="1" pivotButton="0" quotePrefix="0" xfId="0">
      <alignment horizontal="center" vertical="center"/>
    </xf>
    <xf numFmtId="0" fontId="0" fillId="0" borderId="47" pivotButton="0" quotePrefix="0" xfId="0" applyBorder="1"/>
    <xf numFmtId="0" fontId="0" fillId="0" borderId="48" pivotButton="0" quotePrefix="0" xfId="0" applyBorder="1"/>
    <xf numFmtId="0" fontId="0" fillId="0" borderId="49" pivotButton="0" quotePrefix="0" xfId="0" applyBorder="1"/>
    <xf numFmtId="0" fontId="0" fillId="0" borderId="50" pivotButton="0" quotePrefix="0" xfId="0" applyBorder="1"/>
    <xf numFmtId="0" fontId="0" fillId="0" borderId="51" pivotButton="0" quotePrefix="0" xfId="0" applyBorder="1"/>
  </cellXfs>
  <cellStyles count="4">
    <cellStyle name="Normal" xfId="0" builtinId="0"/>
    <cellStyle name="표준 3" xfId="1"/>
    <cellStyle name="쉼표 [0] 3" xfId="2"/>
    <cellStyle name="통화 [0] 2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478920</colOff>
      <row>3</row>
      <rowOff>38101</rowOff>
    </from>
    <to>
      <col>8</col>
      <colOff>787413</colOff>
      <row>4</row>
      <rowOff>1546</rowOff>
    </to>
    <pic>
      <nvPicPr>
        <cNvPr id="2" name="그림 1" descr="도장.tif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664023" y="948998"/>
          <a:ext cx="308493" cy="27721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I30"/>
  <sheetViews>
    <sheetView tabSelected="1" zoomScale="85" zoomScaleNormal="85" zoomScaleSheetLayoutView="75" workbookViewId="0">
      <selection activeCell="K24" sqref="K24"/>
    </sheetView>
  </sheetViews>
  <sheetFormatPr baseColWidth="8" defaultColWidth="8.75" defaultRowHeight="16.5"/>
  <cols>
    <col width="17.75" customWidth="1" style="9" min="1" max="1"/>
    <col width="13" customWidth="1" style="9" min="2" max="2"/>
    <col width="7.5" customWidth="1" style="9" min="3" max="3"/>
    <col width="5.5" customWidth="1" style="9" min="4" max="4"/>
    <col width="0.875" customWidth="1" style="9" min="5" max="5"/>
    <col width="11.5" customWidth="1" style="9" min="6" max="6"/>
    <col width="10.875" customWidth="1" style="9" min="7" max="7"/>
    <col width="7.125" customWidth="1" style="9" min="8" max="8"/>
    <col width="12.875" customWidth="1" style="9" min="9" max="9"/>
  </cols>
  <sheetData>
    <row r="1" ht="38.25" customHeight="1" s="9">
      <c r="A1" s="58" t="inlineStr">
        <is>
          <t xml:space="preserve">   見    積    書</t>
        </is>
      </c>
      <c r="B1" s="59" t="n"/>
      <c r="C1" s="59" t="n"/>
      <c r="D1" s="59" t="n"/>
      <c r="E1" s="59" t="n"/>
      <c r="F1" s="59" t="n"/>
      <c r="G1" s="59" t="n"/>
      <c r="H1" s="59" t="n"/>
      <c r="I1" s="60" t="n"/>
    </row>
    <row r="2" ht="17.25" customHeight="1" s="9" thickBot="1">
      <c r="A2" s="24" t="n"/>
      <c r="B2" s="38" t="n"/>
      <c r="C2" s="38" t="n"/>
      <c r="D2" s="38" t="n"/>
      <c r="E2" s="38" t="n"/>
      <c r="F2" s="38" t="n"/>
      <c r="G2" s="38" t="n"/>
      <c r="H2" s="38" t="n"/>
      <c r="I2" s="7" t="n"/>
    </row>
    <row r="3" ht="16.5" customHeight="1" s="9" thickBot="1">
      <c r="A3" s="25" t="inlineStr">
        <is>
          <t>NO.</t>
        </is>
      </c>
      <c r="B3" s="38" t="n"/>
      <c r="C3" s="38" t="n"/>
      <c r="D3" s="76" t="inlineStr">
        <is>
          <t>공
급
자</t>
        </is>
      </c>
      <c r="E3" s="60" t="n"/>
      <c r="F3" s="82" t="inlineStr">
        <is>
          <t>등록번호</t>
        </is>
      </c>
      <c r="G3" s="83" t="inlineStr">
        <is>
          <t>314-86-35284</t>
        </is>
      </c>
      <c r="H3" s="50" t="n"/>
      <c r="I3" s="103" t="n"/>
    </row>
    <row r="4" ht="24.75" customHeight="1" s="9" thickBot="1">
      <c r="A4" s="26" t="inlineStr">
        <is>
          <t>2026년</t>
        </is>
      </c>
      <c r="B4" s="1" t="inlineStr">
        <is>
          <t>○월</t>
        </is>
      </c>
      <c r="C4" s="1" t="n"/>
      <c r="D4" s="77" t="n"/>
      <c r="E4" s="78" t="n"/>
      <c r="F4" s="85" t="inlineStr">
        <is>
          <t>상     호</t>
        </is>
      </c>
      <c r="G4" s="86" t="inlineStr">
        <is>
          <t>주)수산나디자인</t>
        </is>
      </c>
      <c r="H4" s="87" t="inlineStr">
        <is>
          <t>대표
 이사</t>
        </is>
      </c>
      <c r="I4" s="6" t="inlineStr">
        <is>
          <t xml:space="preserve"> 박수진</t>
        </is>
      </c>
    </row>
    <row r="5">
      <c r="A5" s="27" t="n"/>
      <c r="B5" s="39" t="n"/>
      <c r="C5" s="40" t="inlineStr">
        <is>
          <t xml:space="preserve"> </t>
        </is>
      </c>
      <c r="D5" s="77" t="n"/>
      <c r="E5" s="78" t="n"/>
      <c r="F5" s="85" t="inlineStr">
        <is>
          <t>사 업 장</t>
        </is>
      </c>
      <c r="G5" s="88" t="inlineStr">
        <is>
          <t>대전시 서구 사기점골길 128</t>
        </is>
      </c>
      <c r="H5" s="43" t="n"/>
      <c r="I5" s="104" t="n"/>
    </row>
    <row r="6" ht="17.25" customHeight="1" s="9" thickBot="1">
      <c r="A6" s="64" t="inlineStr">
        <is>
          <t>TCL일렉트로닉스코리아</t>
        </is>
      </c>
      <c r="B6" s="65" t="n"/>
      <c r="C6" s="1" t="inlineStr">
        <is>
          <t>귀하</t>
        </is>
      </c>
      <c r="D6" s="77" t="n"/>
      <c r="E6" s="78" t="n"/>
      <c r="F6" s="85" t="inlineStr">
        <is>
          <t>대표전화</t>
        </is>
      </c>
      <c r="G6" s="90" t="inlineStr">
        <is>
          <t>042) 541 - 0171</t>
        </is>
      </c>
      <c r="H6" s="43" t="n"/>
      <c r="I6" s="104" t="n"/>
    </row>
    <row r="7" ht="17.25" customHeight="1" s="9" thickBot="1">
      <c r="A7" s="61" t="n"/>
      <c r="B7" s="62" t="n"/>
      <c r="C7" s="63" t="n"/>
      <c r="D7" s="79" t="n"/>
      <c r="E7" s="80" t="n"/>
      <c r="F7" s="91" t="inlineStr">
        <is>
          <t>FAX</t>
        </is>
      </c>
      <c r="G7" s="92" t="inlineStr">
        <is>
          <t>042) 545 - 0172</t>
        </is>
      </c>
      <c r="H7" s="71" t="n"/>
      <c r="I7" s="105" t="n"/>
    </row>
    <row r="8" ht="17.25" customHeight="1" s="9" thickBot="1">
      <c r="A8" s="24" t="n"/>
      <c r="B8" s="38" t="n"/>
      <c r="C8" s="38" t="n"/>
      <c r="D8" s="38" t="n"/>
      <c r="E8" s="38" t="n"/>
      <c r="F8" s="94" t="n"/>
      <c r="G8" s="94" t="n"/>
      <c r="H8" s="94" t="n"/>
      <c r="I8" s="95" t="n"/>
    </row>
    <row r="9" ht="23.1" customHeight="1" s="9">
      <c r="A9" s="2" t="inlineStr">
        <is>
          <t>건             명</t>
        </is>
      </c>
      <c r="B9" s="73" t="inlineStr">
        <is>
          <t>TCL 로고 제작설치 작업-○월 정산분</t>
        </is>
      </c>
      <c r="C9" s="74" t="n"/>
      <c r="D9" s="74" t="n"/>
      <c r="E9" s="74" t="n"/>
      <c r="F9" s="74" t="n"/>
      <c r="G9" s="74" t="n"/>
      <c r="H9" s="74" t="n"/>
      <c r="I9" s="106" t="n"/>
    </row>
    <row r="10" ht="23.1" customHeight="1" s="9">
      <c r="A10" s="3" t="inlineStr">
        <is>
          <t xml:space="preserve"> 합  계   금  액 </t>
        </is>
      </c>
      <c r="B10" s="97">
        <f>F30</f>
      </c>
      <c r="C10" s="67" t="n"/>
      <c r="D10" s="67" t="n"/>
      <c r="E10" s="67" t="n"/>
      <c r="F10" s="67" t="n"/>
      <c r="G10" s="46" t="n"/>
      <c r="H10" s="98">
        <f>B10</f>
      </c>
      <c r="I10" s="107" t="n"/>
    </row>
    <row r="11" ht="23.1" customHeight="1" s="9">
      <c r="A11" s="4" t="inlineStr">
        <is>
          <t>품      목</t>
        </is>
      </c>
      <c r="B11" s="69" t="inlineStr">
        <is>
          <t>지사구분</t>
        </is>
      </c>
      <c r="C11" s="69" t="n"/>
      <c r="D11" s="69" t="n"/>
      <c r="E11" s="46" t="n"/>
      <c r="F11" s="99" t="n"/>
      <c r="G11" s="99" t="inlineStr">
        <is>
          <t>공 급 가 액</t>
        </is>
      </c>
      <c r="H11" s="46" t="n"/>
      <c r="I11" s="5" t="inlineStr">
        <is>
          <t>비고</t>
        </is>
      </c>
    </row>
    <row r="12" ht="23.1" customHeight="1" s="9">
      <c r="A12" s="28"/>
      <c r="B12" s="11" t="n"/>
      <c r="C12" s="10" t="n"/>
      <c r="D12" s="45" t="n"/>
      <c r="E12" s="46" t="n"/>
      <c r="F12" s="100" t="n"/>
      <c r="G12" s="52"/>
      <c r="H12" s="46" t="n"/>
      <c r="I12" s="8" t="n"/>
    </row>
    <row r="13" ht="23.1" customHeight="1" s="9">
      <c r="A13" s="15"/>
      <c r="B13" s="14" t="n"/>
      <c r="C13" s="10" t="n"/>
      <c r="D13" s="45" t="n"/>
      <c r="E13" s="46" t="n"/>
      <c r="F13" s="100" t="n"/>
      <c r="G13" s="52"/>
      <c r="H13" s="46" t="n"/>
      <c r="I13" s="8" t="n"/>
    </row>
    <row r="14" ht="23.1" customHeight="1" s="9">
      <c r="A14" s="15"/>
      <c r="B14" s="14" t="n"/>
      <c r="C14" s="10" t="n"/>
      <c r="D14" s="45" t="n"/>
      <c r="E14" s="46" t="n"/>
      <c r="F14" s="100" t="n"/>
      <c r="G14" s="52"/>
      <c r="H14" s="46" t="n"/>
      <c r="I14" s="8" t="n"/>
    </row>
    <row r="15" ht="23.1" customHeight="1" s="9">
      <c r="A15" s="15"/>
      <c r="B15" s="29" t="n"/>
      <c r="C15" s="10" t="n"/>
      <c r="D15" s="45" t="n"/>
      <c r="E15" s="46" t="n"/>
      <c r="F15" s="100" t="n"/>
      <c r="G15" s="52"/>
      <c r="H15" s="46" t="n"/>
      <c r="I15" s="8" t="n"/>
    </row>
    <row r="16" ht="23.1" customHeight="1" s="9">
      <c r="A16" s="15"/>
      <c r="B16" s="14" t="n"/>
      <c r="C16" s="10" t="n"/>
      <c r="D16" s="45" t="n"/>
      <c r="E16" s="46" t="n"/>
      <c r="F16" s="100" t="n"/>
      <c r="G16" s="52"/>
      <c r="H16" s="46" t="n"/>
      <c r="I16" s="8" t="n"/>
    </row>
    <row r="17" ht="23.1" customHeight="1" s="9">
      <c r="A17" s="15"/>
      <c r="B17" s="14" t="n"/>
      <c r="C17" s="10" t="n"/>
      <c r="D17" s="45" t="n"/>
      <c r="E17" s="46" t="n"/>
      <c r="F17" s="100" t="n"/>
      <c r="G17" s="52"/>
      <c r="H17" s="46" t="n"/>
      <c r="I17" s="8" t="n"/>
    </row>
    <row r="18" ht="23.1" customHeight="1" s="9">
      <c r="A18" s="15"/>
      <c r="B18" s="14" t="n"/>
      <c r="C18" s="10" t="n"/>
      <c r="D18" s="45" t="n"/>
      <c r="E18" s="46" t="n"/>
      <c r="F18" s="100" t="n"/>
      <c r="G18" s="52"/>
      <c r="H18" s="46" t="n"/>
      <c r="I18" s="8" t="n"/>
    </row>
    <row r="19" ht="23.1" customHeight="1" s="9">
      <c r="A19" s="15"/>
      <c r="B19" s="14" t="n"/>
      <c r="C19" s="10" t="n"/>
      <c r="D19" s="45" t="n"/>
      <c r="E19" s="46" t="n"/>
      <c r="F19" s="100" t="n"/>
      <c r="G19" s="52"/>
      <c r="H19" s="46" t="n"/>
      <c r="I19" s="8" t="n"/>
    </row>
    <row r="20" ht="23.1" customHeight="1" s="9">
      <c r="A20" s="15"/>
      <c r="B20" s="14" t="n"/>
      <c r="C20" s="10" t="n"/>
      <c r="D20" s="45" t="n"/>
      <c r="E20" s="46" t="n"/>
      <c r="F20" s="100" t="n"/>
      <c r="G20" s="52"/>
      <c r="H20" s="46" t="n"/>
      <c r="I20" s="8" t="n"/>
    </row>
    <row r="21" ht="23.1" customHeight="1" s="9">
      <c r="A21" s="15"/>
      <c r="B21" s="14" t="n"/>
      <c r="C21" s="10" t="n"/>
      <c r="D21" s="45" t="n"/>
      <c r="E21" s="46" t="n"/>
      <c r="F21" s="100" t="n"/>
      <c r="G21" s="52"/>
      <c r="H21" s="46" t="n"/>
      <c r="I21" s="8" t="n"/>
    </row>
    <row r="22" ht="23.1" customHeight="1" s="9">
      <c r="A22" s="15"/>
      <c r="B22" s="29" t="n"/>
      <c r="C22" s="10" t="n"/>
      <c r="D22" s="45" t="n"/>
      <c r="E22" s="46" t="n"/>
      <c r="F22" s="100" t="n"/>
      <c r="G22" s="52"/>
      <c r="H22" s="46" t="n"/>
      <c r="I22" s="8" t="n"/>
    </row>
    <row r="23" ht="23.1" customHeight="1" s="9">
      <c r="A23" s="15"/>
      <c r="B23" s="31" t="n"/>
      <c r="C23" s="10" t="n"/>
      <c r="D23" s="45" t="n"/>
      <c r="E23" s="46" t="n"/>
      <c r="F23" s="100" t="n"/>
      <c r="G23" s="52"/>
      <c r="H23" s="46" t="n"/>
      <c r="I23" s="8" t="n"/>
    </row>
    <row r="24" ht="23.1" customHeight="1" s="9">
      <c r="A24" s="15"/>
      <c r="B24" s="29" t="n"/>
      <c r="C24" s="10" t="n"/>
      <c r="D24" s="45" t="n"/>
      <c r="E24" s="46" t="n"/>
      <c r="F24" s="100" t="n"/>
      <c r="G24" s="52"/>
      <c r="H24" s="46" t="n"/>
      <c r="I24" s="8" t="n"/>
    </row>
    <row r="25" ht="23.1" customHeight="1" s="9">
      <c r="A25" s="15"/>
      <c r="B25" s="14" t="n"/>
      <c r="C25" s="10" t="n"/>
      <c r="D25" s="45" t="n"/>
      <c r="E25" s="46" t="n"/>
      <c r="F25" s="100" t="n"/>
      <c r="G25" s="52"/>
      <c r="H25" s="46" t="n"/>
      <c r="I25" s="8" t="n"/>
    </row>
    <row r="26" ht="23.1" customHeight="1" s="9">
      <c r="A26" s="15"/>
      <c r="B26" s="29" t="n"/>
      <c r="C26" s="10" t="n"/>
      <c r="D26" s="45" t="n"/>
      <c r="E26" s="46" t="n"/>
      <c r="F26" s="100" t="n"/>
      <c r="G26" s="52"/>
      <c r="H26" s="46" t="n"/>
      <c r="I26" s="8" t="n"/>
    </row>
    <row r="27" ht="23.1" customHeight="1" s="9">
      <c r="A27" s="15"/>
      <c r="B27" s="14" t="n"/>
      <c r="C27" s="10" t="n"/>
      <c r="D27" s="45" t="n"/>
      <c r="E27" s="46" t="n"/>
      <c r="F27" s="100" t="n"/>
      <c r="G27" s="52"/>
      <c r="H27" s="46" t="n"/>
      <c r="I27" s="8" t="n"/>
    </row>
    <row r="28" ht="23.1" customHeight="1" s="9">
      <c r="A28" s="15"/>
      <c r="B28" s="11" t="n"/>
      <c r="C28" s="10" t="n"/>
      <c r="D28" s="45" t="n"/>
      <c r="E28" s="46" t="n"/>
      <c r="F28" s="100" t="n"/>
      <c r="G28" s="52"/>
      <c r="H28" s="46" t="n"/>
      <c r="I28" s="8" t="n"/>
    </row>
    <row r="29" ht="23.1" customHeight="1" s="9">
      <c r="A29" s="15"/>
      <c r="B29" s="31" t="n"/>
      <c r="C29" s="32" t="n"/>
      <c r="D29" s="45" t="n"/>
      <c r="E29" s="46" t="n"/>
      <c r="F29" s="101" t="n"/>
      <c r="G29" s="53"/>
      <c r="H29" s="46" t="n"/>
      <c r="I29" s="8" t="n"/>
    </row>
    <row r="30" ht="23.1" customHeight="1" s="9" thickBot="1">
      <c r="A30" s="34" t="n"/>
      <c r="B30" s="35" t="n"/>
      <c r="C30" s="57" t="n"/>
      <c r="D30" s="57" t="n"/>
      <c r="E30" s="56" t="n"/>
      <c r="F30" s="102">
        <f>SUM(G12:G29)</f>
      </c>
      <c r="G30" s="55" t="n"/>
      <c r="H30" s="56" t="n"/>
      <c r="I30" s="37" t="inlineStr">
        <is>
          <t>V.A.T별도</t>
        </is>
      </c>
    </row>
  </sheetData>
  <mergeCells count="51">
    <mergeCell ref="G21:H21"/>
    <mergeCell ref="D20:E20"/>
    <mergeCell ref="G12:H12"/>
    <mergeCell ref="G6:I6"/>
    <mergeCell ref="D19:E19"/>
    <mergeCell ref="H10:I10"/>
    <mergeCell ref="G11:H11"/>
    <mergeCell ref="G27:H27"/>
    <mergeCell ref="G3:I3"/>
    <mergeCell ref="G23:H23"/>
    <mergeCell ref="D22:E22"/>
    <mergeCell ref="G17:H17"/>
    <mergeCell ref="A6:B6"/>
    <mergeCell ref="D21:E21"/>
    <mergeCell ref="B10:G10"/>
    <mergeCell ref="G22:H22"/>
    <mergeCell ref="G5:I5"/>
    <mergeCell ref="D13:E13"/>
    <mergeCell ref="D11:E11"/>
    <mergeCell ref="D27:E27"/>
    <mergeCell ref="G19:H19"/>
    <mergeCell ref="G28:H28"/>
    <mergeCell ref="G13:H13"/>
    <mergeCell ref="G18:H18"/>
    <mergeCell ref="D17:E17"/>
    <mergeCell ref="D16:E16"/>
    <mergeCell ref="G24:H24"/>
    <mergeCell ref="G15:H15"/>
    <mergeCell ref="D28:E28"/>
    <mergeCell ref="G14:H14"/>
    <mergeCell ref="D18:E18"/>
    <mergeCell ref="G26:H26"/>
    <mergeCell ref="D12:E12"/>
    <mergeCell ref="B9:I9"/>
    <mergeCell ref="D25:E25"/>
    <mergeCell ref="G29:H29"/>
    <mergeCell ref="G20:H20"/>
    <mergeCell ref="D3:E7"/>
    <mergeCell ref="D24:E24"/>
    <mergeCell ref="D30:E30"/>
    <mergeCell ref="G16:H16"/>
    <mergeCell ref="D15:E15"/>
    <mergeCell ref="D29:E29"/>
    <mergeCell ref="G25:H25"/>
    <mergeCell ref="G7:I7"/>
    <mergeCell ref="D23:E23"/>
    <mergeCell ref="A1:I1"/>
    <mergeCell ref="D14:E14"/>
    <mergeCell ref="F30:H30"/>
    <mergeCell ref="A7:C7"/>
    <mergeCell ref="D26:E26"/>
  </mergeCells>
  <pageMargins left="0.699999988079071" right="0.699999988079071" top="0.75" bottom="0.75" header="0.300000011920929" footer="0.300000011920929"/>
  <pageSetup orientation="portrait" paperSize="9" scale="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topLeftCell="A4" zoomScale="82" zoomScaleNormal="82" zoomScaleSheetLayoutView="75" workbookViewId="0">
      <selection activeCell="A1" sqref="A1"/>
    </sheetView>
  </sheetViews>
  <sheetFormatPr baseColWidth="8" defaultColWidth="8.75" defaultRowHeight="16.5"/>
  <sheetData/>
  <pageMargins left="0.699999988079071" right="0.699999988079071" top="0.75" bottom="0.75" header="0.300000011920929" footer="0.300000011920929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zoomScaleNormal="100" zoomScaleSheetLayoutView="75" workbookViewId="0">
      <selection activeCell="A1" sqref="A1"/>
    </sheetView>
  </sheetViews>
  <sheetFormatPr baseColWidth="8" defaultColWidth="8.75" defaultRowHeight="16.5"/>
  <sheetData/>
  <pageMargins left="0.699999988079071" right="0.699999988079071" top="0.75" bottom="0.75" header="0.300000011920929" footer="0.300000011920929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</dc:creator>
  <dcterms:created xmlns:dcterms="http://purl.org/dc/terms/" xmlns:xsi="http://www.w3.org/2001/XMLSchema-instance" xsi:type="dcterms:W3CDTF">2022-08-27T15:06:23Z</dcterms:created>
  <dcterms:modified xmlns:dcterms="http://purl.org/dc/terms/" xmlns:xsi="http://www.w3.org/2001/XMLSchema-instance" xsi:type="dcterms:W3CDTF">2026-10-06T14:09:21Z</dcterms:modified>
  <cp:lastModifiedBy>수경 박</cp:lastModifiedBy>
  <cp:version>1200.0100.01</cp:version>
  <cp:revision>1</cp:revision>
  <cp:lastPrinted>2026-07-01T09:19:57Z</cp:lastPrinted>
</cp:coreProperties>
</file>
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4805" windowHeight="8010" activeTab="2"/>
  </bookViews>
  <sheets>
    <sheet name="Sheet1" sheetId="1" r:id="rId1"/>
    <sheet name="3월 정산" sheetId="2" r:id="rId2"/>
    <sheet name="4월 정산" sheetId="3" r:id="rId3"/>
  </sheets>
  <definedNames>
    <definedName name="_xlnm._FilterDatabase" localSheetId="1" hidden="1">'3월 정산'!$A$1:$C$17</definedName>
  </definedNames>
  <calcPr calcId="145621"/>
</workbook>
</file>

<file path=xl/calcChain.xml><?xml version="1.0" encoding="utf-8"?>
<calcChain xmlns="http://schemas.openxmlformats.org/spreadsheetml/2006/main">
  <c r="AI12" i="3" l="1"/>
  <c r="AI11" i="3"/>
  <c r="AI10" i="3"/>
  <c r="AI9" i="3"/>
  <c r="AI8" i="3"/>
  <c r="AI7" i="3"/>
  <c r="AI6" i="3"/>
  <c r="AI5" i="3"/>
  <c r="AI4" i="3"/>
  <c r="AI3" i="3"/>
  <c r="AI2" i="3"/>
  <c r="AI1" i="3"/>
  <c r="D14" i="1"/>
  <c r="D15" i="1"/>
  <c r="D16" i="1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2" i="3"/>
  <c r="AD1" i="3"/>
  <c r="Y10" i="3"/>
  <c r="Y9" i="3"/>
  <c r="Y8" i="3"/>
  <c r="Y7" i="3"/>
  <c r="Y6" i="3"/>
  <c r="Y5" i="3"/>
  <c r="Y4" i="3"/>
  <c r="Y3" i="3"/>
  <c r="Y2" i="3"/>
  <c r="Y1" i="3"/>
  <c r="D17" i="1" l="1"/>
  <c r="D18" i="1"/>
  <c r="D19" i="1"/>
  <c r="D20" i="1"/>
  <c r="D21" i="1"/>
  <c r="D22" i="1"/>
  <c r="D23" i="1" l="1"/>
  <c r="D24" i="1"/>
  <c r="D25" i="1"/>
  <c r="D270" i="1" l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F2" i="1" l="1"/>
</calcChain>
</file>

<file path=xl/sharedStrings.xml><?xml version="1.0" encoding="utf-8"?>
<sst xmlns="http://schemas.openxmlformats.org/spreadsheetml/2006/main" count="565" uniqueCount="279">
  <si>
    <t>지점명</t>
  </si>
  <si>
    <t>날짜</t>
  </si>
  <si>
    <t>조명유무</t>
  </si>
  <si>
    <t>비용</t>
  </si>
  <si>
    <t>총가격</t>
  </si>
  <si>
    <t>조명</t>
    <phoneticPr fontId="1" type="noConversion"/>
  </si>
  <si>
    <t>율량점</t>
    <phoneticPr fontId="1" type="noConversion"/>
  </si>
  <si>
    <t>2026.03.10</t>
    <phoneticPr fontId="1" type="noConversion"/>
  </si>
  <si>
    <t>청주터미널점</t>
    <phoneticPr fontId="1" type="noConversion"/>
  </si>
  <si>
    <t>원성점</t>
    <phoneticPr fontId="1" type="noConversion"/>
  </si>
  <si>
    <t>조명</t>
    <phoneticPr fontId="1" type="noConversion"/>
  </si>
  <si>
    <t>보령점</t>
    <phoneticPr fontId="1" type="noConversion"/>
  </si>
  <si>
    <t>태안점</t>
    <phoneticPr fontId="1" type="noConversion"/>
  </si>
  <si>
    <t>부여점</t>
    <phoneticPr fontId="1" type="noConversion"/>
  </si>
  <si>
    <t>비조명</t>
    <phoneticPr fontId="1" type="noConversion"/>
  </si>
  <si>
    <t>당진점</t>
    <phoneticPr fontId="1" type="noConversion"/>
  </si>
  <si>
    <t>서산점</t>
    <phoneticPr fontId="1" type="noConversion"/>
  </si>
  <si>
    <t>서산롯데마트점</t>
    <phoneticPr fontId="1" type="noConversion"/>
  </si>
  <si>
    <t>2026.03.11</t>
    <phoneticPr fontId="1" type="noConversion"/>
  </si>
  <si>
    <t>홍성점</t>
    <phoneticPr fontId="1" type="noConversion"/>
  </si>
  <si>
    <t>내포 하나로 마트점</t>
  </si>
  <si>
    <t>예산점</t>
    <phoneticPr fontId="1" type="noConversion"/>
  </si>
  <si>
    <t>아산점</t>
    <phoneticPr fontId="1" type="noConversion"/>
  </si>
  <si>
    <t>분평점</t>
    <phoneticPr fontId="1" type="noConversion"/>
  </si>
  <si>
    <t>2026.03.13</t>
    <phoneticPr fontId="1" type="noConversion"/>
  </si>
  <si>
    <t>유천점</t>
    <phoneticPr fontId="1" type="noConversion"/>
  </si>
  <si>
    <t>판암점</t>
    <phoneticPr fontId="1" type="noConversion"/>
  </si>
  <si>
    <t>조명</t>
    <phoneticPr fontId="1" type="noConversion"/>
  </si>
  <si>
    <t>덕계점</t>
    <phoneticPr fontId="1" type="noConversion"/>
  </si>
  <si>
    <t>기장점</t>
    <phoneticPr fontId="1" type="noConversion"/>
  </si>
  <si>
    <t>조명</t>
    <phoneticPr fontId="1" type="noConversion"/>
  </si>
  <si>
    <t>금사점</t>
    <phoneticPr fontId="1" type="noConversion"/>
  </si>
  <si>
    <t>비조명</t>
    <phoneticPr fontId="1" type="noConversion"/>
  </si>
  <si>
    <t>연산점</t>
    <phoneticPr fontId="1" type="noConversion"/>
  </si>
  <si>
    <t>2026.03.17</t>
    <phoneticPr fontId="1" type="noConversion"/>
  </si>
  <si>
    <t>2026.03.17</t>
    <phoneticPr fontId="1" type="noConversion"/>
  </si>
  <si>
    <t>2026.03.17</t>
    <phoneticPr fontId="1" type="noConversion"/>
  </si>
  <si>
    <t>가야점</t>
    <phoneticPr fontId="1" type="noConversion"/>
  </si>
  <si>
    <t>조명</t>
    <phoneticPr fontId="1" type="noConversion"/>
  </si>
  <si>
    <t>영도점</t>
    <phoneticPr fontId="1" type="noConversion"/>
  </si>
  <si>
    <t>부산롯데마트점</t>
    <phoneticPr fontId="1" type="noConversion"/>
  </si>
  <si>
    <t>2026.03.19</t>
    <phoneticPr fontId="1" type="noConversion"/>
  </si>
  <si>
    <t>사하점</t>
    <phoneticPr fontId="1" type="noConversion"/>
  </si>
  <si>
    <t>장림점</t>
    <phoneticPr fontId="1" type="noConversion"/>
  </si>
  <si>
    <t>명지점</t>
    <phoneticPr fontId="1" type="noConversion"/>
  </si>
  <si>
    <t>양산점</t>
  </si>
  <si>
    <t>양산점</t>
    <phoneticPr fontId="1" type="noConversion"/>
  </si>
  <si>
    <t>2026.03.19</t>
    <phoneticPr fontId="1" type="noConversion"/>
  </si>
  <si>
    <t>조명</t>
    <phoneticPr fontId="1" type="noConversion"/>
  </si>
  <si>
    <t>장림점</t>
  </si>
  <si>
    <t>금사점</t>
  </si>
  <si>
    <t>비조명</t>
    <phoneticPr fontId="1" type="noConversion"/>
  </si>
  <si>
    <t>연산점</t>
  </si>
  <si>
    <t>영도점</t>
  </si>
  <si>
    <t>조명</t>
    <phoneticPr fontId="1" type="noConversion"/>
  </si>
  <si>
    <t>명지점</t>
    <phoneticPr fontId="1" type="noConversion"/>
  </si>
  <si>
    <t>밀양점</t>
  </si>
  <si>
    <t>2026.03.24</t>
    <phoneticPr fontId="1" type="noConversion"/>
  </si>
  <si>
    <t>안양점</t>
  </si>
  <si>
    <t>안양점</t>
    <phoneticPr fontId="1" type="noConversion"/>
  </si>
  <si>
    <t>신천점</t>
  </si>
  <si>
    <t>신천점</t>
    <phoneticPr fontId="1" type="noConversion"/>
  </si>
  <si>
    <t>평촌점</t>
  </si>
  <si>
    <t>평촌점</t>
    <phoneticPr fontId="1" type="noConversion"/>
  </si>
  <si>
    <t>안산터미널점</t>
  </si>
  <si>
    <t>안산터미널점</t>
    <phoneticPr fontId="1" type="noConversion"/>
  </si>
  <si>
    <t>상록수점</t>
    <phoneticPr fontId="1" type="noConversion"/>
  </si>
  <si>
    <t>의왕롯데마트점</t>
  </si>
  <si>
    <t>의왕롯데마트점</t>
    <phoneticPr fontId="1" type="noConversion"/>
  </si>
  <si>
    <t>산본점</t>
  </si>
  <si>
    <t>산본점</t>
    <phoneticPr fontId="1" type="noConversion"/>
  </si>
  <si>
    <t>발안점</t>
  </si>
  <si>
    <t>발안점</t>
    <phoneticPr fontId="1" type="noConversion"/>
  </si>
  <si>
    <t>정자사거리점</t>
  </si>
  <si>
    <t>정자사거리점</t>
    <phoneticPr fontId="1" type="noConversion"/>
  </si>
  <si>
    <t>안중점</t>
  </si>
  <si>
    <t>안중점</t>
    <phoneticPr fontId="1" type="noConversion"/>
  </si>
  <si>
    <t>평택세교점</t>
  </si>
  <si>
    <t>평택세교점</t>
    <phoneticPr fontId="1" type="noConversion"/>
  </si>
  <si>
    <t>평택점</t>
  </si>
  <si>
    <t>평택점</t>
    <phoneticPr fontId="1" type="noConversion"/>
  </si>
  <si>
    <t>인후점</t>
  </si>
  <si>
    <t>인후점</t>
    <phoneticPr fontId="1" type="noConversion"/>
  </si>
  <si>
    <t>2026.03.26</t>
    <phoneticPr fontId="1" type="noConversion"/>
  </si>
  <si>
    <t>서곡점</t>
  </si>
  <si>
    <t>서곡점</t>
    <phoneticPr fontId="1" type="noConversion"/>
  </si>
  <si>
    <t>전주롯데마트점</t>
  </si>
  <si>
    <t>전주롯데마트점</t>
    <phoneticPr fontId="1" type="noConversion"/>
  </si>
  <si>
    <t>효천점</t>
  </si>
  <si>
    <t>효천점</t>
    <phoneticPr fontId="1" type="noConversion"/>
  </si>
  <si>
    <t>관저점</t>
  </si>
  <si>
    <t>대덕롯데마트점</t>
  </si>
  <si>
    <t>테크노밸리점</t>
  </si>
  <si>
    <t>유성점</t>
  </si>
  <si>
    <t>NC유성점</t>
  </si>
  <si>
    <t>세종점</t>
  </si>
  <si>
    <t>조치원점</t>
  </si>
  <si>
    <t>유천점</t>
  </si>
  <si>
    <t>판암점</t>
  </si>
  <si>
    <t>공주점</t>
  </si>
  <si>
    <t>논산점</t>
  </si>
  <si>
    <t>율량점</t>
  </si>
  <si>
    <t>분평점</t>
  </si>
  <si>
    <t>청주터미널점</t>
  </si>
  <si>
    <t>원성점</t>
  </si>
  <si>
    <t>당진점</t>
  </si>
  <si>
    <t>보령점</t>
  </si>
  <si>
    <t>서산점</t>
  </si>
  <si>
    <t>서산롯데마트점</t>
  </si>
  <si>
    <t>태안점</t>
  </si>
  <si>
    <t>부여점</t>
  </si>
  <si>
    <t>아산점</t>
  </si>
  <si>
    <t>예산점</t>
  </si>
  <si>
    <t>홍성점</t>
  </si>
  <si>
    <t>내포하나로마트점</t>
  </si>
  <si>
    <t>증평점</t>
  </si>
  <si>
    <t>진천점</t>
  </si>
  <si>
    <t>덕계점</t>
  </si>
  <si>
    <t>기장점</t>
  </si>
  <si>
    <t>가야점</t>
  </si>
  <si>
    <t>부산롯데마트점</t>
  </si>
  <si>
    <t>사하점</t>
  </si>
  <si>
    <t>상록수점안산롯데마트점</t>
  </si>
  <si>
    <t>안성점</t>
  </si>
  <si>
    <t>오산점</t>
  </si>
  <si>
    <t>병점점</t>
  </si>
  <si>
    <t>동탄호수공원점</t>
  </si>
  <si>
    <t>지점</t>
    <phoneticPr fontId="1" type="noConversion"/>
  </si>
  <si>
    <t>2026.03.25</t>
    <phoneticPr fontId="1" type="noConversion"/>
  </si>
  <si>
    <t>조명</t>
    <phoneticPr fontId="1" type="noConversion"/>
  </si>
  <si>
    <t>동탄호수</t>
    <phoneticPr fontId="1" type="noConversion"/>
  </si>
  <si>
    <t>발안점</t>
    <phoneticPr fontId="1" type="noConversion"/>
  </si>
  <si>
    <t>병점점</t>
    <phoneticPr fontId="1" type="noConversion"/>
  </si>
  <si>
    <t>산본점</t>
    <phoneticPr fontId="1" type="noConversion"/>
  </si>
  <si>
    <t>상록수점</t>
    <phoneticPr fontId="1" type="noConversion"/>
  </si>
  <si>
    <t>신천점</t>
    <phoneticPr fontId="1" type="noConversion"/>
  </si>
  <si>
    <t>안산터미널</t>
    <phoneticPr fontId="1" type="noConversion"/>
  </si>
  <si>
    <t>안성</t>
    <phoneticPr fontId="1" type="noConversion"/>
  </si>
  <si>
    <t>안양점</t>
    <phoneticPr fontId="1" type="noConversion"/>
  </si>
  <si>
    <t>의왕롯데마트점</t>
    <phoneticPr fontId="1" type="noConversion"/>
  </si>
  <si>
    <t>정자사거리점</t>
    <phoneticPr fontId="1" type="noConversion"/>
  </si>
  <si>
    <t>평촌점</t>
    <phoneticPr fontId="1" type="noConversion"/>
  </si>
  <si>
    <t>평택점</t>
    <phoneticPr fontId="1" type="noConversion"/>
  </si>
  <si>
    <t>평택세교점</t>
    <phoneticPr fontId="1" type="noConversion"/>
  </si>
  <si>
    <t>증평점</t>
    <phoneticPr fontId="1" type="noConversion"/>
  </si>
  <si>
    <t>2026.03.17</t>
    <phoneticPr fontId="1" type="noConversion"/>
  </si>
  <si>
    <t>진천점</t>
    <phoneticPr fontId="1" type="noConversion"/>
  </si>
  <si>
    <t>비조명</t>
    <phoneticPr fontId="1" type="noConversion"/>
  </si>
  <si>
    <t>조명</t>
    <phoneticPr fontId="1" type="noConversion"/>
  </si>
  <si>
    <t>군산롯데마트점</t>
  </si>
  <si>
    <t>호남지사</t>
    <phoneticPr fontId="1" type="noConversion"/>
  </si>
  <si>
    <t>인천지사</t>
    <phoneticPr fontId="1" type="noConversion"/>
  </si>
  <si>
    <t>수송점</t>
  </si>
  <si>
    <t>나운점</t>
  </si>
  <si>
    <t>행신역점</t>
  </si>
  <si>
    <t>부평롯데마트점</t>
  </si>
  <si>
    <t>영주점</t>
    <phoneticPr fontId="1" type="noConversion"/>
  </si>
  <si>
    <t>안동옥동점</t>
    <phoneticPr fontId="1" type="noConversion"/>
  </si>
  <si>
    <t>상주점</t>
    <phoneticPr fontId="1" type="noConversion"/>
  </si>
  <si>
    <t>지산점</t>
    <phoneticPr fontId="1" type="noConversion"/>
  </si>
  <si>
    <t>광평점</t>
    <phoneticPr fontId="1" type="noConversion"/>
  </si>
  <si>
    <t>인동점</t>
    <phoneticPr fontId="1" type="noConversion"/>
  </si>
  <si>
    <t>왜관점</t>
    <phoneticPr fontId="1" type="noConversion"/>
  </si>
  <si>
    <t>우현점</t>
    <phoneticPr fontId="1" type="noConversion"/>
  </si>
  <si>
    <t>장량점</t>
    <phoneticPr fontId="1" type="noConversion"/>
  </si>
  <si>
    <t>오천점</t>
    <phoneticPr fontId="1" type="noConversion"/>
  </si>
  <si>
    <t>경주점</t>
    <phoneticPr fontId="1" type="noConversion"/>
  </si>
  <si>
    <t>범서점</t>
    <phoneticPr fontId="1" type="noConversion"/>
  </si>
  <si>
    <t>부산지사</t>
    <phoneticPr fontId="1" type="noConversion"/>
  </si>
  <si>
    <t>동구일산점</t>
    <phoneticPr fontId="1" type="noConversion"/>
  </si>
  <si>
    <t>울산롯데마트점</t>
    <phoneticPr fontId="1" type="noConversion"/>
  </si>
  <si>
    <t>언양점</t>
    <phoneticPr fontId="1" type="noConversion"/>
  </si>
  <si>
    <t>영천점</t>
    <phoneticPr fontId="1" type="noConversion"/>
  </si>
  <si>
    <t>황금점</t>
    <phoneticPr fontId="1" type="noConversion"/>
  </si>
  <si>
    <t>침산점</t>
    <phoneticPr fontId="1" type="noConversion"/>
  </si>
  <si>
    <t>하양점</t>
    <phoneticPr fontId="1" type="noConversion"/>
  </si>
  <si>
    <t>송현점</t>
    <phoneticPr fontId="1" type="noConversion"/>
  </si>
  <si>
    <t>죽전점</t>
    <phoneticPr fontId="1" type="noConversion"/>
  </si>
  <si>
    <t>월배점</t>
    <phoneticPr fontId="1" type="noConversion"/>
  </si>
  <si>
    <t>평리점</t>
    <phoneticPr fontId="1" type="noConversion"/>
  </si>
  <si>
    <t>북변점(인)</t>
  </si>
  <si>
    <t>2. 풍무점(인)</t>
  </si>
  <si>
    <t>3. 금촌점(인)</t>
  </si>
  <si>
    <t>4. 운정점(인)</t>
  </si>
  <si>
    <r>
      <t>8. 오정점</t>
    </r>
    <r>
      <rPr>
        <sz val="8"/>
        <color rgb="FF000000"/>
        <rFont val="맑은 고딕"/>
        <family val="3"/>
        <charset val="129"/>
        <scheme val="minor"/>
      </rPr>
      <t>(인)</t>
    </r>
  </si>
  <si>
    <r>
      <t>9. 부천중동점</t>
    </r>
    <r>
      <rPr>
        <sz val="8"/>
        <color rgb="FF000000"/>
        <rFont val="맑은 고딕"/>
        <family val="3"/>
        <charset val="129"/>
        <scheme val="minor"/>
      </rPr>
      <t>(인)</t>
    </r>
  </si>
  <si>
    <r>
      <t>10. 행신영점</t>
    </r>
    <r>
      <rPr>
        <sz val="8"/>
        <color rgb="FF000000"/>
        <rFont val="맑은 고딕"/>
        <family val="3"/>
        <charset val="129"/>
        <scheme val="minor"/>
      </rPr>
      <t>(인)</t>
    </r>
  </si>
  <si>
    <r>
      <t>11. 부평구청점</t>
    </r>
    <r>
      <rPr>
        <sz val="8"/>
        <color rgb="FF000000"/>
        <rFont val="맑은 고딕"/>
        <family val="3"/>
        <charset val="129"/>
        <scheme val="minor"/>
      </rPr>
      <t>(인)</t>
    </r>
  </si>
  <si>
    <r>
      <t>12. 화곡점</t>
    </r>
    <r>
      <rPr>
        <sz val="8"/>
        <color rgb="FF000000"/>
        <rFont val="맑은 고딕"/>
        <family val="3"/>
        <charset val="129"/>
        <scheme val="minor"/>
      </rPr>
      <t>(인)</t>
    </r>
  </si>
  <si>
    <r>
      <t>13. 작전점</t>
    </r>
    <r>
      <rPr>
        <sz val="8"/>
        <color rgb="FF000000"/>
        <rFont val="맑은 고딕"/>
        <family val="3"/>
        <charset val="129"/>
        <scheme val="minor"/>
      </rPr>
      <t>(인)</t>
    </r>
  </si>
  <si>
    <r>
      <t>14. 부평역롯데마트점</t>
    </r>
    <r>
      <rPr>
        <sz val="8"/>
        <color rgb="FF000000"/>
        <rFont val="맑은 고딕"/>
        <family val="3"/>
        <charset val="129"/>
        <scheme val="minor"/>
      </rPr>
      <t>(인)</t>
    </r>
  </si>
  <si>
    <r>
      <t>15</t>
    </r>
    <r>
      <rPr>
        <sz val="7"/>
        <color rgb="FF00B0F0"/>
        <rFont val="맑은 고딕"/>
        <family val="3"/>
        <charset val="129"/>
        <scheme val="minor"/>
      </rPr>
      <t>. 부평롯데마트점</t>
    </r>
    <r>
      <rPr>
        <sz val="8"/>
        <color rgb="FF00B0F0"/>
        <rFont val="맑은 고딕"/>
        <family val="3"/>
        <charset val="129"/>
        <scheme val="minor"/>
      </rPr>
      <t>(인)</t>
    </r>
  </si>
  <si>
    <r>
      <t>16. 검단점</t>
    </r>
    <r>
      <rPr>
        <sz val="8"/>
        <color rgb="FF000000"/>
        <rFont val="맑은 고딕"/>
        <family val="3"/>
        <charset val="129"/>
        <scheme val="minor"/>
      </rPr>
      <t>(인)</t>
    </r>
  </si>
  <si>
    <r>
      <t>17. 석남점</t>
    </r>
    <r>
      <rPr>
        <sz val="10"/>
        <color rgb="FF000000"/>
        <rFont val="맑은 고딕"/>
        <family val="3"/>
        <charset val="129"/>
        <scheme val="minor"/>
      </rPr>
      <t>(인)</t>
    </r>
  </si>
  <si>
    <t>18. 논현신도시점(인)</t>
  </si>
  <si>
    <t>19. 만수점(인)</t>
  </si>
  <si>
    <t>20. 간석점(인)</t>
  </si>
  <si>
    <t>21. 연수점(인)</t>
  </si>
  <si>
    <r>
      <t xml:space="preserve">22. </t>
    </r>
    <r>
      <rPr>
        <sz val="8"/>
        <color rgb="FF00B0F0"/>
        <rFont val="맑은 고딕"/>
        <family val="3"/>
        <charset val="129"/>
        <scheme val="minor"/>
      </rPr>
      <t>송도롯데마트점(인)</t>
    </r>
  </si>
  <si>
    <t>북변점</t>
    <phoneticPr fontId="1" type="noConversion"/>
  </si>
  <si>
    <t>금촌점</t>
    <phoneticPr fontId="1" type="noConversion"/>
  </si>
  <si>
    <t>운정점</t>
    <phoneticPr fontId="1" type="noConversion"/>
  </si>
  <si>
    <t>오정점</t>
    <phoneticPr fontId="1" type="noConversion"/>
  </si>
  <si>
    <t>부천중동점</t>
    <phoneticPr fontId="1" type="noConversion"/>
  </si>
  <si>
    <t>부평구청점</t>
    <phoneticPr fontId="1" type="noConversion"/>
  </si>
  <si>
    <t>화곡점</t>
    <phoneticPr fontId="1" type="noConversion"/>
  </si>
  <si>
    <t>작전점</t>
    <phoneticPr fontId="1" type="noConversion"/>
  </si>
  <si>
    <t>부평역롯데마트점</t>
    <phoneticPr fontId="1" type="noConversion"/>
  </si>
  <si>
    <t>검단점</t>
    <phoneticPr fontId="1" type="noConversion"/>
  </si>
  <si>
    <t>석남점</t>
    <phoneticPr fontId="1" type="noConversion"/>
  </si>
  <si>
    <t>논현신도시점</t>
    <phoneticPr fontId="1" type="noConversion"/>
  </si>
  <si>
    <t>만수점</t>
    <phoneticPr fontId="1" type="noConversion"/>
  </si>
  <si>
    <t>간석점</t>
    <phoneticPr fontId="1" type="noConversion"/>
  </si>
  <si>
    <t>연수점</t>
    <phoneticPr fontId="1" type="noConversion"/>
  </si>
  <si>
    <t>송도롯데마트점</t>
    <phoneticPr fontId="1" type="noConversion"/>
  </si>
  <si>
    <t>풍무점</t>
    <phoneticPr fontId="1" type="noConversion"/>
  </si>
  <si>
    <t>2026.04.06</t>
    <phoneticPr fontId="1" type="noConversion"/>
  </si>
  <si>
    <t>2026.04.07</t>
  </si>
  <si>
    <t>2026.04.08</t>
  </si>
  <si>
    <t>2026.04.09</t>
  </si>
  <si>
    <t>2026.04.10</t>
  </si>
  <si>
    <t>비조명</t>
    <phoneticPr fontId="1" type="noConversion"/>
  </si>
  <si>
    <t>비조명</t>
    <phoneticPr fontId="1" type="noConversion"/>
  </si>
  <si>
    <t>조명</t>
    <phoneticPr fontId="1" type="noConversion"/>
  </si>
  <si>
    <t>2026.04.01</t>
    <phoneticPr fontId="1" type="noConversion"/>
  </si>
  <si>
    <t>2026.04.02</t>
  </si>
  <si>
    <t>2026.04.03</t>
  </si>
  <si>
    <t>경북지사</t>
    <phoneticPr fontId="1" type="noConversion"/>
  </si>
  <si>
    <t>강남지사</t>
    <phoneticPr fontId="1" type="noConversion"/>
  </si>
  <si>
    <t>구로점</t>
    <phoneticPr fontId="1" type="noConversion"/>
  </si>
  <si>
    <t>비조명</t>
    <phoneticPr fontId="1" type="noConversion"/>
  </si>
  <si>
    <t>금천점</t>
    <phoneticPr fontId="1" type="noConversion"/>
  </si>
  <si>
    <t>봉천점</t>
    <phoneticPr fontId="1" type="noConversion"/>
  </si>
  <si>
    <t>상도점</t>
    <phoneticPr fontId="1" type="noConversion"/>
  </si>
  <si>
    <t>천호역점</t>
    <phoneticPr fontId="1" type="noConversion"/>
  </si>
  <si>
    <t>용인점</t>
    <phoneticPr fontId="1" type="noConversion"/>
  </si>
  <si>
    <t>수지롯데몰점</t>
    <phoneticPr fontId="1" type="noConversion"/>
  </si>
  <si>
    <t>분당서현점</t>
  </si>
  <si>
    <t>모란점</t>
  </si>
  <si>
    <t>가락점</t>
  </si>
  <si>
    <t>2026.04.13</t>
    <phoneticPr fontId="1" type="noConversion"/>
  </si>
  <si>
    <t>2026.04.14</t>
    <phoneticPr fontId="1" type="noConversion"/>
  </si>
  <si>
    <t>조명</t>
    <phoneticPr fontId="1" type="noConversion"/>
  </si>
  <si>
    <t>미아사거리점</t>
    <phoneticPr fontId="1" type="noConversion"/>
  </si>
  <si>
    <t>서울롯데마트점</t>
    <phoneticPr fontId="1" type="noConversion"/>
  </si>
  <si>
    <t>석관점</t>
    <phoneticPr fontId="1" type="noConversion"/>
  </si>
  <si>
    <t>공릉점</t>
    <phoneticPr fontId="1" type="noConversion"/>
  </si>
  <si>
    <t>청구점</t>
    <phoneticPr fontId="1" type="noConversion"/>
  </si>
  <si>
    <t>중계롯데마트점</t>
    <phoneticPr fontId="1" type="noConversion"/>
  </si>
  <si>
    <t>창동점</t>
    <phoneticPr fontId="1" type="noConversion"/>
  </si>
  <si>
    <t>용두점</t>
    <phoneticPr fontId="1" type="noConversion"/>
  </si>
  <si>
    <t>쌍문점</t>
    <phoneticPr fontId="1" type="noConversion"/>
  </si>
  <si>
    <t>상봉점</t>
    <phoneticPr fontId="1" type="noConversion"/>
  </si>
  <si>
    <t>옥정점</t>
    <phoneticPr fontId="1" type="noConversion"/>
  </si>
  <si>
    <t>송우점</t>
    <phoneticPr fontId="1" type="noConversion"/>
  </si>
  <si>
    <t>동두천점</t>
    <phoneticPr fontId="1" type="noConversion"/>
  </si>
  <si>
    <t>덕소롯데마트점</t>
    <phoneticPr fontId="1" type="noConversion"/>
  </si>
  <si>
    <t>포천점</t>
    <phoneticPr fontId="1" type="noConversion"/>
  </si>
  <si>
    <t>평내점</t>
    <phoneticPr fontId="1" type="noConversion"/>
  </si>
  <si>
    <t>진접점</t>
    <phoneticPr fontId="1" type="noConversion"/>
  </si>
  <si>
    <t>마석점</t>
    <phoneticPr fontId="1" type="noConversion"/>
  </si>
  <si>
    <t>춘천롯데마트점</t>
    <phoneticPr fontId="1" type="noConversion"/>
  </si>
  <si>
    <t>홍천점</t>
    <phoneticPr fontId="1" type="noConversion"/>
  </si>
  <si>
    <t>송정점</t>
    <phoneticPr fontId="1" type="noConversion"/>
  </si>
  <si>
    <t>양평점</t>
    <phoneticPr fontId="1" type="noConversion"/>
  </si>
  <si>
    <t>동해점</t>
    <phoneticPr fontId="1" type="noConversion"/>
  </si>
  <si>
    <t>여주점</t>
    <phoneticPr fontId="1" type="noConversion"/>
  </si>
  <si>
    <t>삼척점</t>
    <phoneticPr fontId="1" type="noConversion"/>
  </si>
  <si>
    <t>제천점</t>
    <phoneticPr fontId="1" type="noConversion"/>
  </si>
  <si>
    <t>태백점</t>
    <phoneticPr fontId="1" type="noConversion"/>
  </si>
  <si>
    <t>조명</t>
    <phoneticPr fontId="1" type="noConversion"/>
  </si>
  <si>
    <t>2026.04.15</t>
    <phoneticPr fontId="1" type="noConversion"/>
  </si>
  <si>
    <t>2026.04.16</t>
  </si>
  <si>
    <t>2026.04.17</t>
  </si>
  <si>
    <t>조명</t>
    <phoneticPr fontId="1" type="noConversion"/>
  </si>
  <si>
    <t>조명</t>
    <phoneticPr fontId="1" type="noConversion"/>
  </si>
  <si>
    <t>강원지사</t>
    <phoneticPr fontId="1" type="noConversion"/>
  </si>
  <si>
    <t>강북지사</t>
    <phoneticPr fontId="1" type="noConversion"/>
  </si>
  <si>
    <t>2026.04.16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</si>
</sst>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color rgb="FF000000"/>
      <name val="맑은 고딕"/>
      <family val="3"/>
      <charset val="129"/>
      <scheme val="minor"/>
    </font>
    <font>
      <sz val="7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7"/>
      <color rgb="FF00B0F0"/>
      <name val="맑은 고딕"/>
      <family val="3"/>
      <charset val="129"/>
      <scheme val="minor"/>
    </font>
    <font>
      <sz val="8"/>
      <color rgb="FF00B0F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>
      <alignment vertical="center"/>
    </xf>
  </cellStyleXfs>
  <cellXfs count="12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5" xfId="0" applyBorder="1"/>
    <xf numFmtId="41" fontId="0" fillId="0" borderId="4" xfId="1" applyFont="1" applyBorder="1" applyAlignment="1"/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readingOrder="1"/>
    </xf>
    <xf numFmtId="0" fontId="6" fillId="0" borderId="0" xfId="0" applyFont="1" applyAlignment="1">
      <alignment horizontal="left" vertical="center" readingOrder="1"/>
    </xf>
    <xf numFmtId="0" fontId="7" fillId="0" borderId="0" xfId="0" applyFont="1" applyAlignment="1">
      <alignment horizontal="left" vertical="center" readingOrder="1"/>
    </xf>
    <xf numFmtId="0" fontId="4" fillId="0" borderId="0" xfId="0" applyFont="1" applyFill="1" applyBorder="1" applyAlignment="1">
      <alignment horizontal="left" vertical="center" readingOrder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0"/>
  <sheetViews>
    <sheetView workbookViewId="0">
      <selection activeCell="A2" sqref="A2:D13"/>
    </sheetView>
  </sheetViews>
  <sheetFormatPr defaultRowHeight="16.5" x14ac:dyDescent="0.3"/>
  <cols>
    <col min="1" max="1" width="19.25" customWidth="1"/>
    <col min="2" max="2" width="15.25" customWidth="1"/>
    <col min="6" max="6" width="13" customWidth="1"/>
    <col min="8" max="8" width="9.5" bestFit="1" customWidth="1"/>
  </cols>
  <sheetData>
    <row r="1" spans="1:6" ht="18" customHeight="1" thickBot="1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2</v>
      </c>
      <c r="F1" s="4" t="s">
        <v>4</v>
      </c>
    </row>
    <row r="2" spans="1:6" ht="18" customHeight="1" thickBot="1" x14ac:dyDescent="0.35">
      <c r="E2" s="5"/>
      <c r="F2" s="6">
        <f>SUM(D17:D270)</f>
        <v>0</v>
      </c>
    </row>
    <row r="3" spans="1:6" x14ac:dyDescent="0.3">
      <c r="E3" s="1"/>
    </row>
    <row r="4" spans="1:6" x14ac:dyDescent="0.3">
      <c r="E4" s="1"/>
    </row>
    <row r="5" spans="1:6" x14ac:dyDescent="0.3">
      <c r="E5" s="1"/>
    </row>
    <row r="6" spans="1:6" x14ac:dyDescent="0.3">
      <c r="E6" s="1"/>
    </row>
    <row r="7" spans="1:6" x14ac:dyDescent="0.3">
      <c r="E7" s="1"/>
    </row>
    <row r="8" spans="1:6" x14ac:dyDescent="0.3">
      <c r="E8" s="1"/>
    </row>
    <row r="14" spans="1:6" x14ac:dyDescent="0.3">
      <c r="D14">
        <f>IF(C14="조명",580000,IF(C14="비조명",290000,0))</f>
        <v>0</v>
      </c>
    </row>
    <row r="15" spans="1:6" x14ac:dyDescent="0.3">
      <c r="D15">
        <f>IF(C15="조명",580000,IF(C15="비조명",290000,0))</f>
        <v>0</v>
      </c>
    </row>
    <row r="16" spans="1:6" x14ac:dyDescent="0.3">
      <c r="D16">
        <f>IF(C16="조명",580000,IF(C16="비조명",290000,0))</f>
        <v>0</v>
      </c>
    </row>
    <row r="17" spans="4:4" x14ac:dyDescent="0.3">
      <c r="D17">
        <f>IF(C17="조명",580000,IF(C17="비조명",290000,0))</f>
        <v>0</v>
      </c>
    </row>
    <row r="18" spans="4:4" x14ac:dyDescent="0.3">
      <c r="D18">
        <f>IF(C18="조명",580000,IF(C18="비조명",290000,0))</f>
        <v>0</v>
      </c>
    </row>
    <row r="19" spans="4:4" x14ac:dyDescent="0.3">
      <c r="D19">
        <f>IF(C19="조명",580000,IF(C19="비조명",290000,0))</f>
        <v>0</v>
      </c>
    </row>
    <row r="20" spans="4:4" x14ac:dyDescent="0.3">
      <c r="D20">
        <f>IF(C20="조명",580000,IF(C20="비조명",290000,0))</f>
        <v>0</v>
      </c>
    </row>
    <row r="21" spans="4:4" x14ac:dyDescent="0.3">
      <c r="D21">
        <f>IF(C21="조명",580000,IF(C21="비조명",290000,0))</f>
        <v>0</v>
      </c>
    </row>
    <row r="22" spans="4:4" x14ac:dyDescent="0.3">
      <c r="D22">
        <f>IF(C22="조명",580000,IF(C22="비조명",290000,0))</f>
        <v>0</v>
      </c>
    </row>
    <row r="23" spans="4:4" x14ac:dyDescent="0.3">
      <c r="D23">
        <f>IF(C23="조명",580000,IF(C23="비조명",290000,0))</f>
        <v>0</v>
      </c>
    </row>
    <row r="24" spans="4:4" x14ac:dyDescent="0.3">
      <c r="D24">
        <f>IF(C24="조명",580000,IF(C24="비조명",290000,0))</f>
        <v>0</v>
      </c>
    </row>
    <row r="25" spans="4:4" x14ac:dyDescent="0.3">
      <c r="D25">
        <f>IF(C25="조명",580000,IF(C25="비조명",290000,0))</f>
        <v>0</v>
      </c>
    </row>
    <row r="26" spans="4:4" x14ac:dyDescent="0.3">
      <c r="D26">
        <f t="shared" ref="D26:D65" si="0">IF(C26="조명",580000,IF(C26="비조명",290000,0))</f>
        <v>0</v>
      </c>
    </row>
    <row r="27" spans="4:4" x14ac:dyDescent="0.3">
      <c r="D27">
        <f t="shared" si="0"/>
        <v>0</v>
      </c>
    </row>
    <row r="28" spans="4:4" x14ac:dyDescent="0.3">
      <c r="D28">
        <f t="shared" si="0"/>
        <v>0</v>
      </c>
    </row>
    <row r="29" spans="4:4" x14ac:dyDescent="0.3">
      <c r="D29">
        <f t="shared" si="0"/>
        <v>0</v>
      </c>
    </row>
    <row r="30" spans="4:4" x14ac:dyDescent="0.3">
      <c r="D30">
        <f t="shared" si="0"/>
        <v>0</v>
      </c>
    </row>
    <row r="31" spans="4:4" x14ac:dyDescent="0.3">
      <c r="D31">
        <f t="shared" si="0"/>
        <v>0</v>
      </c>
    </row>
    <row r="32" spans="4:4" x14ac:dyDescent="0.3">
      <c r="D32">
        <f t="shared" si="0"/>
        <v>0</v>
      </c>
    </row>
    <row r="33" spans="4:4" x14ac:dyDescent="0.3">
      <c r="D33">
        <f t="shared" si="0"/>
        <v>0</v>
      </c>
    </row>
    <row r="34" spans="4:4" x14ac:dyDescent="0.3">
      <c r="D34">
        <f t="shared" si="0"/>
        <v>0</v>
      </c>
    </row>
    <row r="35" spans="4:4" x14ac:dyDescent="0.3">
      <c r="D35">
        <f t="shared" si="0"/>
        <v>0</v>
      </c>
    </row>
    <row r="36" spans="4:4" x14ac:dyDescent="0.3">
      <c r="D36">
        <f t="shared" si="0"/>
        <v>0</v>
      </c>
    </row>
    <row r="37" spans="4:4" x14ac:dyDescent="0.3">
      <c r="D37">
        <f t="shared" si="0"/>
        <v>0</v>
      </c>
    </row>
    <row r="38" spans="4:4" x14ac:dyDescent="0.3">
      <c r="D38">
        <f t="shared" si="0"/>
        <v>0</v>
      </c>
    </row>
    <row r="39" spans="4:4" x14ac:dyDescent="0.3">
      <c r="D39">
        <f t="shared" si="0"/>
        <v>0</v>
      </c>
    </row>
    <row r="40" spans="4:4" x14ac:dyDescent="0.3">
      <c r="D40">
        <f t="shared" si="0"/>
        <v>0</v>
      </c>
    </row>
    <row r="41" spans="4:4" x14ac:dyDescent="0.3">
      <c r="D41">
        <f t="shared" si="0"/>
        <v>0</v>
      </c>
    </row>
    <row r="42" spans="4:4" x14ac:dyDescent="0.3">
      <c r="D42">
        <f t="shared" si="0"/>
        <v>0</v>
      </c>
    </row>
    <row r="43" spans="4:4" x14ac:dyDescent="0.3">
      <c r="D43">
        <f t="shared" si="0"/>
        <v>0</v>
      </c>
    </row>
    <row r="44" spans="4:4" x14ac:dyDescent="0.3">
      <c r="D44">
        <f t="shared" si="0"/>
        <v>0</v>
      </c>
    </row>
    <row r="45" spans="4:4" x14ac:dyDescent="0.3">
      <c r="D45">
        <f t="shared" si="0"/>
        <v>0</v>
      </c>
    </row>
    <row r="46" spans="4:4" x14ac:dyDescent="0.3">
      <c r="D46">
        <f t="shared" si="0"/>
        <v>0</v>
      </c>
    </row>
    <row r="47" spans="4:4" x14ac:dyDescent="0.3">
      <c r="D47">
        <f t="shared" si="0"/>
        <v>0</v>
      </c>
    </row>
    <row r="48" spans="4:4" x14ac:dyDescent="0.3">
      <c r="D48">
        <f t="shared" si="0"/>
        <v>0</v>
      </c>
    </row>
    <row r="49" spans="4:4" x14ac:dyDescent="0.3">
      <c r="D49">
        <f t="shared" si="0"/>
        <v>0</v>
      </c>
    </row>
    <row r="50" spans="4:4" x14ac:dyDescent="0.3">
      <c r="D50">
        <f t="shared" si="0"/>
        <v>0</v>
      </c>
    </row>
    <row r="51" spans="4:4" x14ac:dyDescent="0.3">
      <c r="D51">
        <f t="shared" si="0"/>
        <v>0</v>
      </c>
    </row>
    <row r="52" spans="4:4" x14ac:dyDescent="0.3">
      <c r="D52">
        <f t="shared" si="0"/>
        <v>0</v>
      </c>
    </row>
    <row r="53" spans="4:4" x14ac:dyDescent="0.3">
      <c r="D53">
        <f t="shared" si="0"/>
        <v>0</v>
      </c>
    </row>
    <row r="54" spans="4:4" x14ac:dyDescent="0.3">
      <c r="D54">
        <f t="shared" si="0"/>
        <v>0</v>
      </c>
    </row>
    <row r="55" spans="4:4" x14ac:dyDescent="0.3">
      <c r="D55">
        <f t="shared" si="0"/>
        <v>0</v>
      </c>
    </row>
    <row r="56" spans="4:4" x14ac:dyDescent="0.3">
      <c r="D56">
        <f t="shared" si="0"/>
        <v>0</v>
      </c>
    </row>
    <row r="57" spans="4:4" x14ac:dyDescent="0.3">
      <c r="D57">
        <f t="shared" si="0"/>
        <v>0</v>
      </c>
    </row>
    <row r="58" spans="4:4" x14ac:dyDescent="0.3">
      <c r="D58">
        <f t="shared" si="0"/>
        <v>0</v>
      </c>
    </row>
    <row r="59" spans="4:4" x14ac:dyDescent="0.3">
      <c r="D59">
        <f t="shared" si="0"/>
        <v>0</v>
      </c>
    </row>
    <row r="60" spans="4:4" x14ac:dyDescent="0.3">
      <c r="D60">
        <f t="shared" si="0"/>
        <v>0</v>
      </c>
    </row>
    <row r="61" spans="4:4" x14ac:dyDescent="0.3">
      <c r="D61">
        <f t="shared" si="0"/>
        <v>0</v>
      </c>
    </row>
    <row r="62" spans="4:4" x14ac:dyDescent="0.3">
      <c r="D62">
        <f t="shared" si="0"/>
        <v>0</v>
      </c>
    </row>
    <row r="63" spans="4:4" x14ac:dyDescent="0.3">
      <c r="D63">
        <f t="shared" si="0"/>
        <v>0</v>
      </c>
    </row>
    <row r="64" spans="4:4" x14ac:dyDescent="0.3">
      <c r="D64">
        <f t="shared" si="0"/>
        <v>0</v>
      </c>
    </row>
    <row r="65" spans="4:4" x14ac:dyDescent="0.3">
      <c r="D65">
        <f t="shared" si="0"/>
        <v>0</v>
      </c>
    </row>
    <row r="66" spans="4:4" x14ac:dyDescent="0.3">
      <c r="D66">
        <f t="shared" ref="D66:D129" si="1">IF(C66="조명",580000,IF(C66="비조명",290000,0))</f>
        <v>0</v>
      </c>
    </row>
    <row r="67" spans="4:4" x14ac:dyDescent="0.3">
      <c r="D67">
        <f t="shared" si="1"/>
        <v>0</v>
      </c>
    </row>
    <row r="68" spans="4:4" x14ac:dyDescent="0.3">
      <c r="D68">
        <f t="shared" si="1"/>
        <v>0</v>
      </c>
    </row>
    <row r="69" spans="4:4" x14ac:dyDescent="0.3">
      <c r="D69">
        <f t="shared" si="1"/>
        <v>0</v>
      </c>
    </row>
    <row r="70" spans="4:4" x14ac:dyDescent="0.3">
      <c r="D70">
        <f t="shared" si="1"/>
        <v>0</v>
      </c>
    </row>
    <row r="71" spans="4:4" x14ac:dyDescent="0.3">
      <c r="D71">
        <f t="shared" si="1"/>
        <v>0</v>
      </c>
    </row>
    <row r="72" spans="4:4" x14ac:dyDescent="0.3">
      <c r="D72">
        <f t="shared" si="1"/>
        <v>0</v>
      </c>
    </row>
    <row r="73" spans="4:4" x14ac:dyDescent="0.3">
      <c r="D73">
        <f t="shared" si="1"/>
        <v>0</v>
      </c>
    </row>
    <row r="74" spans="4:4" x14ac:dyDescent="0.3">
      <c r="D74">
        <f t="shared" si="1"/>
        <v>0</v>
      </c>
    </row>
    <row r="75" spans="4:4" x14ac:dyDescent="0.3">
      <c r="D75">
        <f t="shared" si="1"/>
        <v>0</v>
      </c>
    </row>
    <row r="76" spans="4:4" x14ac:dyDescent="0.3">
      <c r="D76">
        <f t="shared" si="1"/>
        <v>0</v>
      </c>
    </row>
    <row r="77" spans="4:4" x14ac:dyDescent="0.3">
      <c r="D77">
        <f t="shared" si="1"/>
        <v>0</v>
      </c>
    </row>
    <row r="78" spans="4:4" x14ac:dyDescent="0.3">
      <c r="D78">
        <f t="shared" si="1"/>
        <v>0</v>
      </c>
    </row>
    <row r="79" spans="4:4" x14ac:dyDescent="0.3">
      <c r="D79">
        <f t="shared" si="1"/>
        <v>0</v>
      </c>
    </row>
    <row r="80" spans="4:4" x14ac:dyDescent="0.3">
      <c r="D80">
        <f t="shared" si="1"/>
        <v>0</v>
      </c>
    </row>
    <row r="81" spans="4:4" x14ac:dyDescent="0.3">
      <c r="D81">
        <f t="shared" si="1"/>
        <v>0</v>
      </c>
    </row>
    <row r="82" spans="4:4" x14ac:dyDescent="0.3">
      <c r="D82">
        <f t="shared" si="1"/>
        <v>0</v>
      </c>
    </row>
    <row r="83" spans="4:4" x14ac:dyDescent="0.3">
      <c r="D83">
        <f t="shared" si="1"/>
        <v>0</v>
      </c>
    </row>
    <row r="84" spans="4:4" x14ac:dyDescent="0.3">
      <c r="D84">
        <f t="shared" si="1"/>
        <v>0</v>
      </c>
    </row>
    <row r="85" spans="4:4" x14ac:dyDescent="0.3">
      <c r="D85">
        <f t="shared" si="1"/>
        <v>0</v>
      </c>
    </row>
    <row r="86" spans="4:4" x14ac:dyDescent="0.3">
      <c r="D86">
        <f t="shared" si="1"/>
        <v>0</v>
      </c>
    </row>
    <row r="87" spans="4:4" x14ac:dyDescent="0.3">
      <c r="D87">
        <f t="shared" si="1"/>
        <v>0</v>
      </c>
    </row>
    <row r="88" spans="4:4" x14ac:dyDescent="0.3">
      <c r="D88">
        <f t="shared" si="1"/>
        <v>0</v>
      </c>
    </row>
    <row r="89" spans="4:4" x14ac:dyDescent="0.3">
      <c r="D89">
        <f t="shared" si="1"/>
        <v>0</v>
      </c>
    </row>
    <row r="90" spans="4:4" x14ac:dyDescent="0.3">
      <c r="D90">
        <f t="shared" si="1"/>
        <v>0</v>
      </c>
    </row>
    <row r="91" spans="4:4" x14ac:dyDescent="0.3">
      <c r="D91">
        <f t="shared" si="1"/>
        <v>0</v>
      </c>
    </row>
    <row r="92" spans="4:4" x14ac:dyDescent="0.3">
      <c r="D92">
        <f t="shared" si="1"/>
        <v>0</v>
      </c>
    </row>
    <row r="93" spans="4:4" x14ac:dyDescent="0.3">
      <c r="D93">
        <f t="shared" si="1"/>
        <v>0</v>
      </c>
    </row>
    <row r="94" spans="4:4" x14ac:dyDescent="0.3">
      <c r="D94">
        <f t="shared" si="1"/>
        <v>0</v>
      </c>
    </row>
    <row r="95" spans="4:4" x14ac:dyDescent="0.3">
      <c r="D95">
        <f t="shared" si="1"/>
        <v>0</v>
      </c>
    </row>
    <row r="96" spans="4:4" x14ac:dyDescent="0.3">
      <c r="D96">
        <f t="shared" si="1"/>
        <v>0</v>
      </c>
    </row>
    <row r="97" spans="4:4" x14ac:dyDescent="0.3">
      <c r="D97">
        <f t="shared" si="1"/>
        <v>0</v>
      </c>
    </row>
    <row r="98" spans="4:4" x14ac:dyDescent="0.3">
      <c r="D98">
        <f t="shared" si="1"/>
        <v>0</v>
      </c>
    </row>
    <row r="99" spans="4:4" x14ac:dyDescent="0.3">
      <c r="D99">
        <f t="shared" si="1"/>
        <v>0</v>
      </c>
    </row>
    <row r="100" spans="4:4" x14ac:dyDescent="0.3">
      <c r="D100">
        <f t="shared" si="1"/>
        <v>0</v>
      </c>
    </row>
    <row r="101" spans="4:4" x14ac:dyDescent="0.3">
      <c r="D101">
        <f t="shared" si="1"/>
        <v>0</v>
      </c>
    </row>
    <row r="102" spans="4:4" x14ac:dyDescent="0.3">
      <c r="D102">
        <f t="shared" si="1"/>
        <v>0</v>
      </c>
    </row>
    <row r="103" spans="4:4" x14ac:dyDescent="0.3">
      <c r="D103">
        <f t="shared" si="1"/>
        <v>0</v>
      </c>
    </row>
    <row r="104" spans="4:4" x14ac:dyDescent="0.3">
      <c r="D104">
        <f t="shared" si="1"/>
        <v>0</v>
      </c>
    </row>
    <row r="105" spans="4:4" x14ac:dyDescent="0.3">
      <c r="D105">
        <f t="shared" si="1"/>
        <v>0</v>
      </c>
    </row>
    <row r="106" spans="4:4" x14ac:dyDescent="0.3">
      <c r="D106">
        <f t="shared" si="1"/>
        <v>0</v>
      </c>
    </row>
    <row r="107" spans="4:4" x14ac:dyDescent="0.3">
      <c r="D107">
        <f t="shared" si="1"/>
        <v>0</v>
      </c>
    </row>
    <row r="108" spans="4:4" x14ac:dyDescent="0.3">
      <c r="D108">
        <f t="shared" si="1"/>
        <v>0</v>
      </c>
    </row>
    <row r="109" spans="4:4" x14ac:dyDescent="0.3">
      <c r="D109">
        <f t="shared" si="1"/>
        <v>0</v>
      </c>
    </row>
    <row r="110" spans="4:4" x14ac:dyDescent="0.3">
      <c r="D110">
        <f t="shared" si="1"/>
        <v>0</v>
      </c>
    </row>
    <row r="111" spans="4:4" x14ac:dyDescent="0.3">
      <c r="D111">
        <f t="shared" si="1"/>
        <v>0</v>
      </c>
    </row>
    <row r="112" spans="4:4" x14ac:dyDescent="0.3">
      <c r="D112">
        <f t="shared" si="1"/>
        <v>0</v>
      </c>
    </row>
    <row r="113" spans="4:4" x14ac:dyDescent="0.3">
      <c r="D113">
        <f t="shared" si="1"/>
        <v>0</v>
      </c>
    </row>
    <row r="114" spans="4:4" x14ac:dyDescent="0.3">
      <c r="D114">
        <f t="shared" si="1"/>
        <v>0</v>
      </c>
    </row>
    <row r="115" spans="4:4" x14ac:dyDescent="0.3">
      <c r="D115">
        <f t="shared" si="1"/>
        <v>0</v>
      </c>
    </row>
    <row r="116" spans="4:4" x14ac:dyDescent="0.3">
      <c r="D116">
        <f t="shared" si="1"/>
        <v>0</v>
      </c>
    </row>
    <row r="117" spans="4:4" x14ac:dyDescent="0.3">
      <c r="D117">
        <f t="shared" si="1"/>
        <v>0</v>
      </c>
    </row>
    <row r="118" spans="4:4" x14ac:dyDescent="0.3">
      <c r="D118">
        <f t="shared" si="1"/>
        <v>0</v>
      </c>
    </row>
    <row r="119" spans="4:4" x14ac:dyDescent="0.3">
      <c r="D119">
        <f t="shared" si="1"/>
        <v>0</v>
      </c>
    </row>
    <row r="120" spans="4:4" x14ac:dyDescent="0.3">
      <c r="D120">
        <f t="shared" si="1"/>
        <v>0</v>
      </c>
    </row>
    <row r="121" spans="4:4" x14ac:dyDescent="0.3">
      <c r="D121">
        <f t="shared" si="1"/>
        <v>0</v>
      </c>
    </row>
    <row r="122" spans="4:4" x14ac:dyDescent="0.3">
      <c r="D122">
        <f t="shared" si="1"/>
        <v>0</v>
      </c>
    </row>
    <row r="123" spans="4:4" x14ac:dyDescent="0.3">
      <c r="D123">
        <f t="shared" si="1"/>
        <v>0</v>
      </c>
    </row>
    <row r="124" spans="4:4" x14ac:dyDescent="0.3">
      <c r="D124">
        <f t="shared" si="1"/>
        <v>0</v>
      </c>
    </row>
    <row r="125" spans="4:4" x14ac:dyDescent="0.3">
      <c r="D125">
        <f t="shared" si="1"/>
        <v>0</v>
      </c>
    </row>
    <row r="126" spans="4:4" x14ac:dyDescent="0.3">
      <c r="D126">
        <f t="shared" si="1"/>
        <v>0</v>
      </c>
    </row>
    <row r="127" spans="4:4" x14ac:dyDescent="0.3">
      <c r="D127">
        <f t="shared" si="1"/>
        <v>0</v>
      </c>
    </row>
    <row r="128" spans="4:4" x14ac:dyDescent="0.3">
      <c r="D128">
        <f t="shared" si="1"/>
        <v>0</v>
      </c>
    </row>
    <row r="129" spans="4:4" x14ac:dyDescent="0.3">
      <c r="D129">
        <f t="shared" si="1"/>
        <v>0</v>
      </c>
    </row>
    <row r="130" spans="4:4" x14ac:dyDescent="0.3">
      <c r="D130">
        <f t="shared" ref="D130:D193" si="2">IF(C130="조명",580000,IF(C130="비조명",290000,0))</f>
        <v>0</v>
      </c>
    </row>
    <row r="131" spans="4:4" x14ac:dyDescent="0.3">
      <c r="D131">
        <f t="shared" si="2"/>
        <v>0</v>
      </c>
    </row>
    <row r="132" spans="4:4" x14ac:dyDescent="0.3">
      <c r="D132">
        <f t="shared" si="2"/>
        <v>0</v>
      </c>
    </row>
    <row r="133" spans="4:4" x14ac:dyDescent="0.3">
      <c r="D133">
        <f t="shared" si="2"/>
        <v>0</v>
      </c>
    </row>
    <row r="134" spans="4:4" x14ac:dyDescent="0.3">
      <c r="D134">
        <f t="shared" si="2"/>
        <v>0</v>
      </c>
    </row>
    <row r="135" spans="4:4" x14ac:dyDescent="0.3">
      <c r="D135">
        <f t="shared" si="2"/>
        <v>0</v>
      </c>
    </row>
    <row r="136" spans="4:4" x14ac:dyDescent="0.3">
      <c r="D136">
        <f t="shared" si="2"/>
        <v>0</v>
      </c>
    </row>
    <row r="137" spans="4:4" x14ac:dyDescent="0.3">
      <c r="D137">
        <f t="shared" si="2"/>
        <v>0</v>
      </c>
    </row>
    <row r="138" spans="4:4" x14ac:dyDescent="0.3">
      <c r="D138">
        <f t="shared" si="2"/>
        <v>0</v>
      </c>
    </row>
    <row r="139" spans="4:4" x14ac:dyDescent="0.3">
      <c r="D139">
        <f t="shared" si="2"/>
        <v>0</v>
      </c>
    </row>
    <row r="140" spans="4:4" x14ac:dyDescent="0.3">
      <c r="D140">
        <f t="shared" si="2"/>
        <v>0</v>
      </c>
    </row>
    <row r="141" spans="4:4" x14ac:dyDescent="0.3">
      <c r="D141">
        <f t="shared" si="2"/>
        <v>0</v>
      </c>
    </row>
    <row r="142" spans="4:4" x14ac:dyDescent="0.3">
      <c r="D142">
        <f t="shared" si="2"/>
        <v>0</v>
      </c>
    </row>
    <row r="143" spans="4:4" x14ac:dyDescent="0.3">
      <c r="D143">
        <f t="shared" si="2"/>
        <v>0</v>
      </c>
    </row>
    <row r="144" spans="4:4" x14ac:dyDescent="0.3">
      <c r="D144">
        <f t="shared" si="2"/>
        <v>0</v>
      </c>
    </row>
    <row r="145" spans="4:4" x14ac:dyDescent="0.3">
      <c r="D145">
        <f t="shared" si="2"/>
        <v>0</v>
      </c>
    </row>
    <row r="146" spans="4:4" x14ac:dyDescent="0.3">
      <c r="D146">
        <f t="shared" si="2"/>
        <v>0</v>
      </c>
    </row>
    <row r="147" spans="4:4" x14ac:dyDescent="0.3">
      <c r="D147">
        <f t="shared" si="2"/>
        <v>0</v>
      </c>
    </row>
    <row r="148" spans="4:4" x14ac:dyDescent="0.3">
      <c r="D148">
        <f t="shared" si="2"/>
        <v>0</v>
      </c>
    </row>
    <row r="149" spans="4:4" x14ac:dyDescent="0.3">
      <c r="D149">
        <f t="shared" si="2"/>
        <v>0</v>
      </c>
    </row>
    <row r="150" spans="4:4" x14ac:dyDescent="0.3">
      <c r="D150">
        <f t="shared" si="2"/>
        <v>0</v>
      </c>
    </row>
    <row r="151" spans="4:4" x14ac:dyDescent="0.3">
      <c r="D151">
        <f t="shared" si="2"/>
        <v>0</v>
      </c>
    </row>
    <row r="152" spans="4:4" x14ac:dyDescent="0.3">
      <c r="D152">
        <f t="shared" si="2"/>
        <v>0</v>
      </c>
    </row>
    <row r="153" spans="4:4" x14ac:dyDescent="0.3">
      <c r="D153">
        <f t="shared" si="2"/>
        <v>0</v>
      </c>
    </row>
    <row r="154" spans="4:4" x14ac:dyDescent="0.3">
      <c r="D154">
        <f t="shared" si="2"/>
        <v>0</v>
      </c>
    </row>
    <row r="155" spans="4:4" x14ac:dyDescent="0.3">
      <c r="D155">
        <f t="shared" si="2"/>
        <v>0</v>
      </c>
    </row>
    <row r="156" spans="4:4" x14ac:dyDescent="0.3">
      <c r="D156">
        <f t="shared" si="2"/>
        <v>0</v>
      </c>
    </row>
    <row r="157" spans="4:4" x14ac:dyDescent="0.3">
      <c r="D157">
        <f t="shared" si="2"/>
        <v>0</v>
      </c>
    </row>
    <row r="158" spans="4:4" x14ac:dyDescent="0.3">
      <c r="D158">
        <f t="shared" si="2"/>
        <v>0</v>
      </c>
    </row>
    <row r="159" spans="4:4" x14ac:dyDescent="0.3">
      <c r="D159">
        <f t="shared" si="2"/>
        <v>0</v>
      </c>
    </row>
    <row r="160" spans="4:4" x14ac:dyDescent="0.3">
      <c r="D160">
        <f t="shared" si="2"/>
        <v>0</v>
      </c>
    </row>
    <row r="161" spans="4:4" x14ac:dyDescent="0.3">
      <c r="D161">
        <f t="shared" si="2"/>
        <v>0</v>
      </c>
    </row>
    <row r="162" spans="4:4" x14ac:dyDescent="0.3">
      <c r="D162">
        <f t="shared" si="2"/>
        <v>0</v>
      </c>
    </row>
    <row r="163" spans="4:4" x14ac:dyDescent="0.3">
      <c r="D163">
        <f t="shared" si="2"/>
        <v>0</v>
      </c>
    </row>
    <row r="164" spans="4:4" x14ac:dyDescent="0.3">
      <c r="D164">
        <f t="shared" si="2"/>
        <v>0</v>
      </c>
    </row>
    <row r="165" spans="4:4" x14ac:dyDescent="0.3">
      <c r="D165">
        <f t="shared" si="2"/>
        <v>0</v>
      </c>
    </row>
    <row r="166" spans="4:4" x14ac:dyDescent="0.3">
      <c r="D166">
        <f t="shared" si="2"/>
        <v>0</v>
      </c>
    </row>
    <row r="167" spans="4:4" x14ac:dyDescent="0.3">
      <c r="D167">
        <f t="shared" si="2"/>
        <v>0</v>
      </c>
    </row>
    <row r="168" spans="4:4" x14ac:dyDescent="0.3">
      <c r="D168">
        <f t="shared" si="2"/>
        <v>0</v>
      </c>
    </row>
    <row r="169" spans="4:4" x14ac:dyDescent="0.3">
      <c r="D169">
        <f t="shared" si="2"/>
        <v>0</v>
      </c>
    </row>
    <row r="170" spans="4:4" x14ac:dyDescent="0.3">
      <c r="D170">
        <f t="shared" si="2"/>
        <v>0</v>
      </c>
    </row>
    <row r="171" spans="4:4" x14ac:dyDescent="0.3">
      <c r="D171">
        <f t="shared" si="2"/>
        <v>0</v>
      </c>
    </row>
    <row r="172" spans="4:4" x14ac:dyDescent="0.3">
      <c r="D172">
        <f t="shared" si="2"/>
        <v>0</v>
      </c>
    </row>
    <row r="173" spans="4:4" x14ac:dyDescent="0.3">
      <c r="D173">
        <f t="shared" si="2"/>
        <v>0</v>
      </c>
    </row>
    <row r="174" spans="4:4" x14ac:dyDescent="0.3">
      <c r="D174">
        <f t="shared" si="2"/>
        <v>0</v>
      </c>
    </row>
    <row r="175" spans="4:4" x14ac:dyDescent="0.3">
      <c r="D175">
        <f t="shared" si="2"/>
        <v>0</v>
      </c>
    </row>
    <row r="176" spans="4:4" x14ac:dyDescent="0.3">
      <c r="D176">
        <f t="shared" si="2"/>
        <v>0</v>
      </c>
    </row>
    <row r="177" spans="4:4" x14ac:dyDescent="0.3">
      <c r="D177">
        <f t="shared" si="2"/>
        <v>0</v>
      </c>
    </row>
    <row r="178" spans="4:4" x14ac:dyDescent="0.3">
      <c r="D178">
        <f t="shared" si="2"/>
        <v>0</v>
      </c>
    </row>
    <row r="179" spans="4:4" x14ac:dyDescent="0.3">
      <c r="D179">
        <f t="shared" si="2"/>
        <v>0</v>
      </c>
    </row>
    <row r="180" spans="4:4" x14ac:dyDescent="0.3">
      <c r="D180">
        <f t="shared" si="2"/>
        <v>0</v>
      </c>
    </row>
    <row r="181" spans="4:4" x14ac:dyDescent="0.3">
      <c r="D181">
        <f t="shared" si="2"/>
        <v>0</v>
      </c>
    </row>
    <row r="182" spans="4:4" x14ac:dyDescent="0.3">
      <c r="D182">
        <f t="shared" si="2"/>
        <v>0</v>
      </c>
    </row>
    <row r="183" spans="4:4" x14ac:dyDescent="0.3">
      <c r="D183">
        <f t="shared" si="2"/>
        <v>0</v>
      </c>
    </row>
    <row r="184" spans="4:4" x14ac:dyDescent="0.3">
      <c r="D184">
        <f t="shared" si="2"/>
        <v>0</v>
      </c>
    </row>
    <row r="185" spans="4:4" x14ac:dyDescent="0.3">
      <c r="D185">
        <f t="shared" si="2"/>
        <v>0</v>
      </c>
    </row>
    <row r="186" spans="4:4" x14ac:dyDescent="0.3">
      <c r="D186">
        <f t="shared" si="2"/>
        <v>0</v>
      </c>
    </row>
    <row r="187" spans="4:4" x14ac:dyDescent="0.3">
      <c r="D187">
        <f t="shared" si="2"/>
        <v>0</v>
      </c>
    </row>
    <row r="188" spans="4:4" x14ac:dyDescent="0.3">
      <c r="D188">
        <f t="shared" si="2"/>
        <v>0</v>
      </c>
    </row>
    <row r="189" spans="4:4" x14ac:dyDescent="0.3">
      <c r="D189">
        <f t="shared" si="2"/>
        <v>0</v>
      </c>
    </row>
    <row r="190" spans="4:4" x14ac:dyDescent="0.3">
      <c r="D190">
        <f t="shared" si="2"/>
        <v>0</v>
      </c>
    </row>
    <row r="191" spans="4:4" x14ac:dyDescent="0.3">
      <c r="D191">
        <f t="shared" si="2"/>
        <v>0</v>
      </c>
    </row>
    <row r="192" spans="4:4" x14ac:dyDescent="0.3">
      <c r="D192">
        <f t="shared" si="2"/>
        <v>0</v>
      </c>
    </row>
    <row r="193" spans="4:4" x14ac:dyDescent="0.3">
      <c r="D193">
        <f t="shared" si="2"/>
        <v>0</v>
      </c>
    </row>
    <row r="194" spans="4:4" x14ac:dyDescent="0.3">
      <c r="D194">
        <f t="shared" ref="D194:D257" si="3">IF(C194="조명",580000,IF(C194="비조명",290000,0))</f>
        <v>0</v>
      </c>
    </row>
    <row r="195" spans="4:4" x14ac:dyDescent="0.3">
      <c r="D195">
        <f t="shared" si="3"/>
        <v>0</v>
      </c>
    </row>
    <row r="196" spans="4:4" x14ac:dyDescent="0.3">
      <c r="D196">
        <f t="shared" si="3"/>
        <v>0</v>
      </c>
    </row>
    <row r="197" spans="4:4" x14ac:dyDescent="0.3">
      <c r="D197">
        <f t="shared" si="3"/>
        <v>0</v>
      </c>
    </row>
    <row r="198" spans="4:4" x14ac:dyDescent="0.3">
      <c r="D198">
        <f t="shared" si="3"/>
        <v>0</v>
      </c>
    </row>
    <row r="199" spans="4:4" x14ac:dyDescent="0.3">
      <c r="D199">
        <f t="shared" si="3"/>
        <v>0</v>
      </c>
    </row>
    <row r="200" spans="4:4" x14ac:dyDescent="0.3">
      <c r="D200">
        <f t="shared" si="3"/>
        <v>0</v>
      </c>
    </row>
    <row r="201" spans="4:4" x14ac:dyDescent="0.3">
      <c r="D201">
        <f t="shared" si="3"/>
        <v>0</v>
      </c>
    </row>
    <row r="202" spans="4:4" x14ac:dyDescent="0.3">
      <c r="D202">
        <f t="shared" si="3"/>
        <v>0</v>
      </c>
    </row>
    <row r="203" spans="4:4" x14ac:dyDescent="0.3">
      <c r="D203">
        <f t="shared" si="3"/>
        <v>0</v>
      </c>
    </row>
    <row r="204" spans="4:4" x14ac:dyDescent="0.3">
      <c r="D204">
        <f t="shared" si="3"/>
        <v>0</v>
      </c>
    </row>
    <row r="205" spans="4:4" x14ac:dyDescent="0.3">
      <c r="D205">
        <f t="shared" si="3"/>
        <v>0</v>
      </c>
    </row>
    <row r="206" spans="4:4" x14ac:dyDescent="0.3">
      <c r="D206">
        <f t="shared" si="3"/>
        <v>0</v>
      </c>
    </row>
    <row r="207" spans="4:4" x14ac:dyDescent="0.3">
      <c r="D207">
        <f t="shared" si="3"/>
        <v>0</v>
      </c>
    </row>
    <row r="208" spans="4:4" x14ac:dyDescent="0.3">
      <c r="D208">
        <f t="shared" si="3"/>
        <v>0</v>
      </c>
    </row>
    <row r="209" spans="4:4" x14ac:dyDescent="0.3">
      <c r="D209">
        <f t="shared" si="3"/>
        <v>0</v>
      </c>
    </row>
    <row r="210" spans="4:4" x14ac:dyDescent="0.3">
      <c r="D210">
        <f t="shared" si="3"/>
        <v>0</v>
      </c>
    </row>
    <row r="211" spans="4:4" x14ac:dyDescent="0.3">
      <c r="D211">
        <f t="shared" si="3"/>
        <v>0</v>
      </c>
    </row>
    <row r="212" spans="4:4" x14ac:dyDescent="0.3">
      <c r="D212">
        <f t="shared" si="3"/>
        <v>0</v>
      </c>
    </row>
    <row r="213" spans="4:4" x14ac:dyDescent="0.3">
      <c r="D213">
        <f t="shared" si="3"/>
        <v>0</v>
      </c>
    </row>
    <row r="214" spans="4:4" x14ac:dyDescent="0.3">
      <c r="D214">
        <f t="shared" si="3"/>
        <v>0</v>
      </c>
    </row>
    <row r="215" spans="4:4" x14ac:dyDescent="0.3">
      <c r="D215">
        <f t="shared" si="3"/>
        <v>0</v>
      </c>
    </row>
    <row r="216" spans="4:4" x14ac:dyDescent="0.3">
      <c r="D216">
        <f t="shared" si="3"/>
        <v>0</v>
      </c>
    </row>
    <row r="217" spans="4:4" x14ac:dyDescent="0.3">
      <c r="D217">
        <f t="shared" si="3"/>
        <v>0</v>
      </c>
    </row>
    <row r="218" spans="4:4" x14ac:dyDescent="0.3">
      <c r="D218">
        <f t="shared" si="3"/>
        <v>0</v>
      </c>
    </row>
    <row r="219" spans="4:4" x14ac:dyDescent="0.3">
      <c r="D219">
        <f t="shared" si="3"/>
        <v>0</v>
      </c>
    </row>
    <row r="220" spans="4:4" x14ac:dyDescent="0.3">
      <c r="D220">
        <f t="shared" si="3"/>
        <v>0</v>
      </c>
    </row>
    <row r="221" spans="4:4" x14ac:dyDescent="0.3">
      <c r="D221">
        <f t="shared" si="3"/>
        <v>0</v>
      </c>
    </row>
    <row r="222" spans="4:4" x14ac:dyDescent="0.3">
      <c r="D222">
        <f t="shared" si="3"/>
        <v>0</v>
      </c>
    </row>
    <row r="223" spans="4:4" x14ac:dyDescent="0.3">
      <c r="D223">
        <f t="shared" si="3"/>
        <v>0</v>
      </c>
    </row>
    <row r="224" spans="4:4" x14ac:dyDescent="0.3">
      <c r="D224">
        <f t="shared" si="3"/>
        <v>0</v>
      </c>
    </row>
    <row r="225" spans="4:4" x14ac:dyDescent="0.3">
      <c r="D225">
        <f t="shared" si="3"/>
        <v>0</v>
      </c>
    </row>
    <row r="226" spans="4:4" x14ac:dyDescent="0.3">
      <c r="D226">
        <f t="shared" si="3"/>
        <v>0</v>
      </c>
    </row>
    <row r="227" spans="4:4" x14ac:dyDescent="0.3">
      <c r="D227">
        <f t="shared" si="3"/>
        <v>0</v>
      </c>
    </row>
    <row r="228" spans="4:4" x14ac:dyDescent="0.3">
      <c r="D228">
        <f t="shared" si="3"/>
        <v>0</v>
      </c>
    </row>
    <row r="229" spans="4:4" x14ac:dyDescent="0.3">
      <c r="D229">
        <f t="shared" si="3"/>
        <v>0</v>
      </c>
    </row>
    <row r="230" spans="4:4" x14ac:dyDescent="0.3">
      <c r="D230">
        <f t="shared" si="3"/>
        <v>0</v>
      </c>
    </row>
    <row r="231" spans="4:4" x14ac:dyDescent="0.3">
      <c r="D231">
        <f t="shared" si="3"/>
        <v>0</v>
      </c>
    </row>
    <row r="232" spans="4:4" x14ac:dyDescent="0.3">
      <c r="D232">
        <f t="shared" si="3"/>
        <v>0</v>
      </c>
    </row>
    <row r="233" spans="4:4" x14ac:dyDescent="0.3">
      <c r="D233">
        <f t="shared" si="3"/>
        <v>0</v>
      </c>
    </row>
    <row r="234" spans="4:4" x14ac:dyDescent="0.3">
      <c r="D234">
        <f t="shared" si="3"/>
        <v>0</v>
      </c>
    </row>
    <row r="235" spans="4:4" x14ac:dyDescent="0.3">
      <c r="D235">
        <f t="shared" si="3"/>
        <v>0</v>
      </c>
    </row>
    <row r="236" spans="4:4" x14ac:dyDescent="0.3">
      <c r="D236">
        <f t="shared" si="3"/>
        <v>0</v>
      </c>
    </row>
    <row r="237" spans="4:4" x14ac:dyDescent="0.3">
      <c r="D237">
        <f t="shared" si="3"/>
        <v>0</v>
      </c>
    </row>
    <row r="238" spans="4:4" x14ac:dyDescent="0.3">
      <c r="D238">
        <f t="shared" si="3"/>
        <v>0</v>
      </c>
    </row>
    <row r="239" spans="4:4" x14ac:dyDescent="0.3">
      <c r="D239">
        <f t="shared" si="3"/>
        <v>0</v>
      </c>
    </row>
    <row r="240" spans="4:4" x14ac:dyDescent="0.3">
      <c r="D240">
        <f t="shared" si="3"/>
        <v>0</v>
      </c>
    </row>
    <row r="241" spans="4:4" x14ac:dyDescent="0.3">
      <c r="D241">
        <f t="shared" si="3"/>
        <v>0</v>
      </c>
    </row>
    <row r="242" spans="4:4" x14ac:dyDescent="0.3">
      <c r="D242">
        <f t="shared" si="3"/>
        <v>0</v>
      </c>
    </row>
    <row r="243" spans="4:4" x14ac:dyDescent="0.3">
      <c r="D243">
        <f t="shared" si="3"/>
        <v>0</v>
      </c>
    </row>
    <row r="244" spans="4:4" x14ac:dyDescent="0.3">
      <c r="D244">
        <f t="shared" si="3"/>
        <v>0</v>
      </c>
    </row>
    <row r="245" spans="4:4" x14ac:dyDescent="0.3">
      <c r="D245">
        <f t="shared" si="3"/>
        <v>0</v>
      </c>
    </row>
    <row r="246" spans="4:4" x14ac:dyDescent="0.3">
      <c r="D246">
        <f t="shared" si="3"/>
        <v>0</v>
      </c>
    </row>
    <row r="247" spans="4:4" x14ac:dyDescent="0.3">
      <c r="D247">
        <f t="shared" si="3"/>
        <v>0</v>
      </c>
    </row>
    <row r="248" spans="4:4" x14ac:dyDescent="0.3">
      <c r="D248">
        <f t="shared" si="3"/>
        <v>0</v>
      </c>
    </row>
    <row r="249" spans="4:4" x14ac:dyDescent="0.3">
      <c r="D249">
        <f t="shared" si="3"/>
        <v>0</v>
      </c>
    </row>
    <row r="250" spans="4:4" x14ac:dyDescent="0.3">
      <c r="D250">
        <f t="shared" si="3"/>
        <v>0</v>
      </c>
    </row>
    <row r="251" spans="4:4" x14ac:dyDescent="0.3">
      <c r="D251">
        <f t="shared" si="3"/>
        <v>0</v>
      </c>
    </row>
    <row r="252" spans="4:4" x14ac:dyDescent="0.3">
      <c r="D252">
        <f t="shared" si="3"/>
        <v>0</v>
      </c>
    </row>
    <row r="253" spans="4:4" x14ac:dyDescent="0.3">
      <c r="D253">
        <f t="shared" si="3"/>
        <v>0</v>
      </c>
    </row>
    <row r="254" spans="4:4" x14ac:dyDescent="0.3">
      <c r="D254">
        <f t="shared" si="3"/>
        <v>0</v>
      </c>
    </row>
    <row r="255" spans="4:4" x14ac:dyDescent="0.3">
      <c r="D255">
        <f t="shared" si="3"/>
        <v>0</v>
      </c>
    </row>
    <row r="256" spans="4:4" x14ac:dyDescent="0.3">
      <c r="D256">
        <f t="shared" si="3"/>
        <v>0</v>
      </c>
    </row>
    <row r="257" spans="4:4" x14ac:dyDescent="0.3">
      <c r="D257">
        <f t="shared" si="3"/>
        <v>0</v>
      </c>
    </row>
    <row r="258" spans="4:4" x14ac:dyDescent="0.3">
      <c r="D258">
        <f t="shared" ref="D258:D270" si="4">IF(C258="조명",580000,IF(C258="비조명",290000,0))</f>
        <v>0</v>
      </c>
    </row>
    <row r="259" spans="4:4" x14ac:dyDescent="0.3">
      <c r="D259">
        <f t="shared" si="4"/>
        <v>0</v>
      </c>
    </row>
    <row r="260" spans="4:4" x14ac:dyDescent="0.3">
      <c r="D260">
        <f t="shared" si="4"/>
        <v>0</v>
      </c>
    </row>
    <row r="261" spans="4:4" x14ac:dyDescent="0.3">
      <c r="D261">
        <f t="shared" si="4"/>
        <v>0</v>
      </c>
    </row>
    <row r="262" spans="4:4" x14ac:dyDescent="0.3">
      <c r="D262">
        <f t="shared" si="4"/>
        <v>0</v>
      </c>
    </row>
    <row r="263" spans="4:4" x14ac:dyDescent="0.3">
      <c r="D263">
        <f t="shared" si="4"/>
        <v>0</v>
      </c>
    </row>
    <row r="264" spans="4:4" x14ac:dyDescent="0.3">
      <c r="D264">
        <f t="shared" si="4"/>
        <v>0</v>
      </c>
    </row>
    <row r="265" spans="4:4" x14ac:dyDescent="0.3">
      <c r="D265">
        <f t="shared" si="4"/>
        <v>0</v>
      </c>
    </row>
    <row r="266" spans="4:4" x14ac:dyDescent="0.3">
      <c r="D266">
        <f t="shared" si="4"/>
        <v>0</v>
      </c>
    </row>
    <row r="267" spans="4:4" x14ac:dyDescent="0.3">
      <c r="D267">
        <f t="shared" si="4"/>
        <v>0</v>
      </c>
    </row>
    <row r="268" spans="4:4" x14ac:dyDescent="0.3">
      <c r="D268">
        <f t="shared" si="4"/>
        <v>0</v>
      </c>
    </row>
    <row r="269" spans="4:4" x14ac:dyDescent="0.3">
      <c r="D269">
        <f t="shared" si="4"/>
        <v>0</v>
      </c>
    </row>
    <row r="270" spans="4:4" x14ac:dyDescent="0.3">
      <c r="D270">
        <f t="shared" si="4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opLeftCell="A10" workbookViewId="0">
      <selection activeCell="C30" sqref="C30"/>
    </sheetView>
  </sheetViews>
  <sheetFormatPr defaultRowHeight="16.5" x14ac:dyDescent="0.3"/>
  <cols>
    <col min="1" max="1" width="25.75" customWidth="1"/>
    <col min="2" max="2" width="21" customWidth="1"/>
    <col min="6" max="6" width="16.625" customWidth="1"/>
  </cols>
  <sheetData>
    <row r="1" spans="1:7" x14ac:dyDescent="0.3">
      <c r="A1" t="s">
        <v>127</v>
      </c>
    </row>
    <row r="2" spans="1:7" x14ac:dyDescent="0.3">
      <c r="A2" t="s">
        <v>6</v>
      </c>
      <c r="B2" t="s">
        <v>7</v>
      </c>
      <c r="C2" t="s">
        <v>5</v>
      </c>
      <c r="F2" t="s">
        <v>90</v>
      </c>
      <c r="G2">
        <v>0</v>
      </c>
    </row>
    <row r="3" spans="1:7" x14ac:dyDescent="0.3">
      <c r="A3" t="s">
        <v>8</v>
      </c>
      <c r="B3" t="s">
        <v>7</v>
      </c>
      <c r="C3" t="s">
        <v>5</v>
      </c>
      <c r="F3" t="s">
        <v>91</v>
      </c>
      <c r="G3">
        <v>0</v>
      </c>
    </row>
    <row r="4" spans="1:7" x14ac:dyDescent="0.3">
      <c r="A4" t="s">
        <v>9</v>
      </c>
      <c r="B4" t="s">
        <v>7</v>
      </c>
      <c r="C4" t="s">
        <v>10</v>
      </c>
      <c r="F4" t="s">
        <v>92</v>
      </c>
      <c r="G4">
        <v>0</v>
      </c>
    </row>
    <row r="5" spans="1:7" x14ac:dyDescent="0.3">
      <c r="A5" t="s">
        <v>11</v>
      </c>
      <c r="B5" t="s">
        <v>7</v>
      </c>
      <c r="C5" t="s">
        <v>10</v>
      </c>
      <c r="F5" t="s">
        <v>93</v>
      </c>
      <c r="G5">
        <v>0</v>
      </c>
    </row>
    <row r="6" spans="1:7" x14ac:dyDescent="0.3">
      <c r="A6" t="s">
        <v>12</v>
      </c>
      <c r="B6" t="s">
        <v>7</v>
      </c>
      <c r="C6" t="s">
        <v>14</v>
      </c>
      <c r="F6" t="s">
        <v>94</v>
      </c>
      <c r="G6">
        <v>0</v>
      </c>
    </row>
    <row r="7" spans="1:7" x14ac:dyDescent="0.3">
      <c r="A7" t="s">
        <v>13</v>
      </c>
      <c r="B7" t="s">
        <v>18</v>
      </c>
      <c r="C7" t="s">
        <v>10</v>
      </c>
      <c r="F7" t="s">
        <v>95</v>
      </c>
      <c r="G7">
        <v>0</v>
      </c>
    </row>
    <row r="8" spans="1:7" x14ac:dyDescent="0.3">
      <c r="A8" t="s">
        <v>15</v>
      </c>
      <c r="B8" t="s">
        <v>18</v>
      </c>
      <c r="C8" t="s">
        <v>10</v>
      </c>
      <c r="F8" t="s">
        <v>96</v>
      </c>
      <c r="G8">
        <v>0</v>
      </c>
    </row>
    <row r="9" spans="1:7" x14ac:dyDescent="0.3">
      <c r="A9" t="s">
        <v>16</v>
      </c>
      <c r="B9" t="s">
        <v>18</v>
      </c>
      <c r="C9" t="s">
        <v>14</v>
      </c>
      <c r="F9" t="s">
        <v>97</v>
      </c>
      <c r="G9">
        <v>0</v>
      </c>
    </row>
    <row r="10" spans="1:7" x14ac:dyDescent="0.3">
      <c r="A10" t="s">
        <v>17</v>
      </c>
      <c r="B10" t="s">
        <v>18</v>
      </c>
      <c r="C10" t="s">
        <v>14</v>
      </c>
      <c r="F10" t="s">
        <v>98</v>
      </c>
      <c r="G10">
        <v>0</v>
      </c>
    </row>
    <row r="11" spans="1:7" x14ac:dyDescent="0.3">
      <c r="A11" t="s">
        <v>19</v>
      </c>
      <c r="B11" t="s">
        <v>18</v>
      </c>
      <c r="C11" t="s">
        <v>10</v>
      </c>
      <c r="F11" t="s">
        <v>99</v>
      </c>
      <c r="G11">
        <v>0</v>
      </c>
    </row>
    <row r="12" spans="1:7" x14ac:dyDescent="0.3">
      <c r="A12" t="s">
        <v>20</v>
      </c>
      <c r="B12" t="s">
        <v>18</v>
      </c>
      <c r="C12" t="s">
        <v>10</v>
      </c>
      <c r="F12" t="s">
        <v>100</v>
      </c>
      <c r="G12">
        <v>0</v>
      </c>
    </row>
    <row r="13" spans="1:7" x14ac:dyDescent="0.3">
      <c r="A13" t="s">
        <v>21</v>
      </c>
      <c r="B13" t="s">
        <v>18</v>
      </c>
      <c r="C13" t="s">
        <v>10</v>
      </c>
      <c r="F13" t="s">
        <v>101</v>
      </c>
      <c r="G13">
        <v>0</v>
      </c>
    </row>
    <row r="14" spans="1:7" x14ac:dyDescent="0.3">
      <c r="A14" t="s">
        <v>22</v>
      </c>
      <c r="B14" t="s">
        <v>18</v>
      </c>
      <c r="C14" t="s">
        <v>10</v>
      </c>
      <c r="F14" t="s">
        <v>102</v>
      </c>
      <c r="G14">
        <v>0</v>
      </c>
    </row>
    <row r="15" spans="1:7" x14ac:dyDescent="0.3">
      <c r="A15" t="s">
        <v>23</v>
      </c>
      <c r="B15" t="s">
        <v>24</v>
      </c>
      <c r="C15" t="s">
        <v>10</v>
      </c>
      <c r="F15" t="s">
        <v>103</v>
      </c>
      <c r="G15">
        <v>0</v>
      </c>
    </row>
    <row r="16" spans="1:7" x14ac:dyDescent="0.3">
      <c r="A16" t="s">
        <v>25</v>
      </c>
      <c r="B16" t="s">
        <v>24</v>
      </c>
      <c r="C16" t="s">
        <v>14</v>
      </c>
      <c r="F16" t="s">
        <v>104</v>
      </c>
      <c r="G16">
        <v>0</v>
      </c>
    </row>
    <row r="17" spans="1:7" x14ac:dyDescent="0.3">
      <c r="A17" t="s">
        <v>26</v>
      </c>
      <c r="B17" t="s">
        <v>24</v>
      </c>
      <c r="C17" t="s">
        <v>14</v>
      </c>
      <c r="F17" t="s">
        <v>105</v>
      </c>
      <c r="G17">
        <v>0</v>
      </c>
    </row>
    <row r="18" spans="1:7" x14ac:dyDescent="0.3">
      <c r="A18" t="s">
        <v>144</v>
      </c>
      <c r="B18" t="s">
        <v>145</v>
      </c>
      <c r="C18" t="s">
        <v>129</v>
      </c>
      <c r="F18" t="s">
        <v>106</v>
      </c>
      <c r="G18">
        <v>0</v>
      </c>
    </row>
    <row r="19" spans="1:7" x14ac:dyDescent="0.3">
      <c r="A19" t="s">
        <v>146</v>
      </c>
      <c r="B19" t="s">
        <v>145</v>
      </c>
      <c r="C19" t="s">
        <v>147</v>
      </c>
      <c r="E19" t="s">
        <v>46</v>
      </c>
      <c r="F19" t="s">
        <v>107</v>
      </c>
      <c r="G19">
        <v>0</v>
      </c>
    </row>
    <row r="20" spans="1:7" x14ac:dyDescent="0.3">
      <c r="F20" t="s">
        <v>108</v>
      </c>
      <c r="G20">
        <v>0</v>
      </c>
    </row>
    <row r="21" spans="1:7" x14ac:dyDescent="0.3">
      <c r="A21" t="s">
        <v>28</v>
      </c>
      <c r="B21" t="s">
        <v>34</v>
      </c>
      <c r="C21" t="s">
        <v>27</v>
      </c>
      <c r="F21" t="s">
        <v>109</v>
      </c>
      <c r="G21">
        <v>0</v>
      </c>
    </row>
    <row r="22" spans="1:7" x14ac:dyDescent="0.3">
      <c r="A22" t="s">
        <v>29</v>
      </c>
      <c r="B22" t="s">
        <v>35</v>
      </c>
      <c r="C22" t="s">
        <v>30</v>
      </c>
      <c r="F22" t="s">
        <v>110</v>
      </c>
      <c r="G22">
        <v>0</v>
      </c>
    </row>
    <row r="23" spans="1:7" x14ac:dyDescent="0.3">
      <c r="A23" t="s">
        <v>31</v>
      </c>
      <c r="B23" t="s">
        <v>35</v>
      </c>
      <c r="C23" t="s">
        <v>32</v>
      </c>
      <c r="F23" t="s">
        <v>111</v>
      </c>
      <c r="G23">
        <v>0</v>
      </c>
    </row>
    <row r="24" spans="1:7" x14ac:dyDescent="0.3">
      <c r="A24" t="s">
        <v>33</v>
      </c>
      <c r="B24" t="s">
        <v>36</v>
      </c>
      <c r="C24" t="s">
        <v>32</v>
      </c>
      <c r="F24" t="s">
        <v>112</v>
      </c>
      <c r="G24">
        <v>0</v>
      </c>
    </row>
    <row r="25" spans="1:7" x14ac:dyDescent="0.3">
      <c r="A25" t="s">
        <v>37</v>
      </c>
      <c r="B25" t="s">
        <v>36</v>
      </c>
      <c r="C25" t="s">
        <v>38</v>
      </c>
      <c r="F25" t="s">
        <v>113</v>
      </c>
      <c r="G25">
        <v>0</v>
      </c>
    </row>
    <row r="26" spans="1:7" x14ac:dyDescent="0.3">
      <c r="A26" t="s">
        <v>39</v>
      </c>
      <c r="B26" t="s">
        <v>36</v>
      </c>
      <c r="C26" t="s">
        <v>38</v>
      </c>
      <c r="F26" t="s">
        <v>114</v>
      </c>
      <c r="G26">
        <v>0</v>
      </c>
    </row>
    <row r="27" spans="1:7" x14ac:dyDescent="0.3">
      <c r="A27" t="s">
        <v>40</v>
      </c>
      <c r="B27" t="s">
        <v>41</v>
      </c>
      <c r="C27" t="s">
        <v>38</v>
      </c>
      <c r="F27" t="s">
        <v>115</v>
      </c>
      <c r="G27">
        <v>0</v>
      </c>
    </row>
    <row r="28" spans="1:7" x14ac:dyDescent="0.3">
      <c r="A28" t="s">
        <v>42</v>
      </c>
      <c r="B28" t="s">
        <v>41</v>
      </c>
      <c r="C28" t="s">
        <v>38</v>
      </c>
      <c r="F28" t="s">
        <v>116</v>
      </c>
      <c r="G28">
        <v>0</v>
      </c>
    </row>
    <row r="29" spans="1:7" x14ac:dyDescent="0.3">
      <c r="A29" t="s">
        <v>43</v>
      </c>
      <c r="B29" t="s">
        <v>41</v>
      </c>
      <c r="C29" t="s">
        <v>38</v>
      </c>
      <c r="F29" t="s">
        <v>117</v>
      </c>
      <c r="G29">
        <v>0</v>
      </c>
    </row>
    <row r="30" spans="1:7" x14ac:dyDescent="0.3">
      <c r="A30" t="s">
        <v>44</v>
      </c>
      <c r="B30" t="s">
        <v>41</v>
      </c>
      <c r="C30" t="s">
        <v>38</v>
      </c>
      <c r="F30" t="s">
        <v>50</v>
      </c>
      <c r="G30">
        <v>0</v>
      </c>
    </row>
    <row r="31" spans="1:7" x14ac:dyDescent="0.3">
      <c r="F31" t="s">
        <v>118</v>
      </c>
      <c r="G31">
        <v>0</v>
      </c>
    </row>
    <row r="32" spans="1:7" x14ac:dyDescent="0.3">
      <c r="A32" t="s">
        <v>46</v>
      </c>
      <c r="B32" t="s">
        <v>47</v>
      </c>
      <c r="C32" t="s">
        <v>48</v>
      </c>
      <c r="F32" t="s">
        <v>119</v>
      </c>
      <c r="G32">
        <v>0</v>
      </c>
    </row>
    <row r="33" spans="1:7" x14ac:dyDescent="0.3">
      <c r="F33" t="s">
        <v>52</v>
      </c>
      <c r="G33">
        <v>0</v>
      </c>
    </row>
    <row r="34" spans="1:7" x14ac:dyDescent="0.3">
      <c r="D34" t="s">
        <v>130</v>
      </c>
      <c r="F34" t="s">
        <v>53</v>
      </c>
      <c r="G34">
        <v>0</v>
      </c>
    </row>
    <row r="35" spans="1:7" x14ac:dyDescent="0.3">
      <c r="D35" t="s">
        <v>131</v>
      </c>
      <c r="F35" t="s">
        <v>45</v>
      </c>
      <c r="G35">
        <v>0</v>
      </c>
    </row>
    <row r="36" spans="1:7" x14ac:dyDescent="0.3">
      <c r="A36" t="s">
        <v>59</v>
      </c>
      <c r="B36" t="s">
        <v>57</v>
      </c>
      <c r="C36" t="s">
        <v>54</v>
      </c>
      <c r="D36" t="s">
        <v>132</v>
      </c>
      <c r="F36" t="s">
        <v>120</v>
      </c>
      <c r="G36">
        <v>0</v>
      </c>
    </row>
    <row r="37" spans="1:7" x14ac:dyDescent="0.3">
      <c r="A37" t="s">
        <v>61</v>
      </c>
      <c r="B37" t="s">
        <v>57</v>
      </c>
      <c r="C37" t="s">
        <v>54</v>
      </c>
      <c r="D37" t="s">
        <v>133</v>
      </c>
      <c r="F37" t="s">
        <v>49</v>
      </c>
      <c r="G37">
        <v>0</v>
      </c>
    </row>
    <row r="38" spans="1:7" x14ac:dyDescent="0.3">
      <c r="A38" t="s">
        <v>63</v>
      </c>
      <c r="B38" t="s">
        <v>57</v>
      </c>
      <c r="C38" t="s">
        <v>54</v>
      </c>
      <c r="D38" t="s">
        <v>134</v>
      </c>
      <c r="F38" t="s">
        <v>55</v>
      </c>
      <c r="G38">
        <v>0</v>
      </c>
    </row>
    <row r="39" spans="1:7" x14ac:dyDescent="0.3">
      <c r="A39" t="s">
        <v>65</v>
      </c>
      <c r="B39" t="s">
        <v>57</v>
      </c>
      <c r="C39" t="s">
        <v>51</v>
      </c>
      <c r="D39" t="s">
        <v>135</v>
      </c>
      <c r="F39" t="s">
        <v>121</v>
      </c>
      <c r="G39">
        <v>0</v>
      </c>
    </row>
    <row r="40" spans="1:7" x14ac:dyDescent="0.3">
      <c r="A40" t="s">
        <v>66</v>
      </c>
      <c r="B40" t="s">
        <v>57</v>
      </c>
      <c r="C40" t="s">
        <v>129</v>
      </c>
      <c r="D40" t="s">
        <v>136</v>
      </c>
      <c r="F40" t="s">
        <v>56</v>
      </c>
      <c r="G40">
        <v>0</v>
      </c>
    </row>
    <row r="41" spans="1:7" x14ac:dyDescent="0.3">
      <c r="A41" t="s">
        <v>68</v>
      </c>
      <c r="B41" t="s">
        <v>57</v>
      </c>
      <c r="C41" t="s">
        <v>129</v>
      </c>
      <c r="D41" t="s">
        <v>137</v>
      </c>
      <c r="F41" t="s">
        <v>69</v>
      </c>
      <c r="G41">
        <v>0</v>
      </c>
    </row>
    <row r="42" spans="1:7" x14ac:dyDescent="0.3">
      <c r="A42" t="s">
        <v>70</v>
      </c>
      <c r="B42" t="s">
        <v>57</v>
      </c>
      <c r="C42" t="s">
        <v>54</v>
      </c>
      <c r="D42" t="s">
        <v>138</v>
      </c>
      <c r="F42" t="s">
        <v>73</v>
      </c>
      <c r="G42">
        <v>0</v>
      </c>
    </row>
    <row r="43" spans="1:7" x14ac:dyDescent="0.3">
      <c r="A43" t="s">
        <v>72</v>
      </c>
      <c r="B43" t="s">
        <v>57</v>
      </c>
      <c r="C43" t="s">
        <v>54</v>
      </c>
      <c r="F43" t="s">
        <v>60</v>
      </c>
      <c r="G43">
        <v>0</v>
      </c>
    </row>
    <row r="44" spans="1:7" x14ac:dyDescent="0.3">
      <c r="A44" t="s">
        <v>74</v>
      </c>
      <c r="B44" t="s">
        <v>57</v>
      </c>
      <c r="C44" t="s">
        <v>54</v>
      </c>
      <c r="F44" t="s">
        <v>122</v>
      </c>
      <c r="G44">
        <v>0</v>
      </c>
    </row>
    <row r="45" spans="1:7" x14ac:dyDescent="0.3">
      <c r="D45" t="s">
        <v>139</v>
      </c>
      <c r="F45" t="s">
        <v>64</v>
      </c>
      <c r="G45">
        <v>0</v>
      </c>
    </row>
    <row r="46" spans="1:7" x14ac:dyDescent="0.3">
      <c r="D46" t="s">
        <v>140</v>
      </c>
      <c r="F46" t="s">
        <v>62</v>
      </c>
      <c r="G46">
        <v>0</v>
      </c>
    </row>
    <row r="47" spans="1:7" x14ac:dyDescent="0.3">
      <c r="A47" t="s">
        <v>76</v>
      </c>
      <c r="B47" t="s">
        <v>57</v>
      </c>
      <c r="C47" t="s">
        <v>54</v>
      </c>
      <c r="D47" t="s">
        <v>141</v>
      </c>
      <c r="F47" t="s">
        <v>58</v>
      </c>
      <c r="G47">
        <v>0</v>
      </c>
    </row>
    <row r="48" spans="1:7" x14ac:dyDescent="0.3">
      <c r="A48" t="s">
        <v>78</v>
      </c>
      <c r="B48" t="s">
        <v>57</v>
      </c>
      <c r="C48" t="s">
        <v>54</v>
      </c>
      <c r="D48" t="s">
        <v>143</v>
      </c>
      <c r="F48" t="s">
        <v>67</v>
      </c>
      <c r="G48">
        <v>0</v>
      </c>
    </row>
    <row r="49" spans="1:12" x14ac:dyDescent="0.3">
      <c r="A49" t="s">
        <v>80</v>
      </c>
      <c r="B49" t="s">
        <v>57</v>
      </c>
      <c r="C49" t="s">
        <v>54</v>
      </c>
      <c r="D49" t="s">
        <v>142</v>
      </c>
      <c r="F49" t="s">
        <v>71</v>
      </c>
      <c r="G49">
        <v>0</v>
      </c>
    </row>
    <row r="50" spans="1:12" x14ac:dyDescent="0.3">
      <c r="A50" t="s">
        <v>123</v>
      </c>
      <c r="B50" t="s">
        <v>128</v>
      </c>
      <c r="C50" t="s">
        <v>129</v>
      </c>
      <c r="F50" t="s">
        <v>123</v>
      </c>
      <c r="G50">
        <v>0</v>
      </c>
    </row>
    <row r="51" spans="1:12" x14ac:dyDescent="0.3">
      <c r="A51" t="s">
        <v>124</v>
      </c>
      <c r="B51" t="s">
        <v>128</v>
      </c>
      <c r="C51" t="s">
        <v>129</v>
      </c>
      <c r="F51" t="s">
        <v>124</v>
      </c>
      <c r="G51">
        <v>0</v>
      </c>
    </row>
    <row r="52" spans="1:12" x14ac:dyDescent="0.3">
      <c r="A52" t="s">
        <v>125</v>
      </c>
      <c r="B52" t="s">
        <v>128</v>
      </c>
      <c r="C52" t="s">
        <v>129</v>
      </c>
      <c r="F52" t="s">
        <v>77</v>
      </c>
      <c r="G52">
        <v>0</v>
      </c>
    </row>
    <row r="53" spans="1:12" x14ac:dyDescent="0.3">
      <c r="A53" t="s">
        <v>126</v>
      </c>
      <c r="B53" t="s">
        <v>128</v>
      </c>
      <c r="C53" t="s">
        <v>129</v>
      </c>
      <c r="F53" t="s">
        <v>75</v>
      </c>
      <c r="G53">
        <v>0</v>
      </c>
      <c r="L53" t="s">
        <v>123</v>
      </c>
    </row>
    <row r="54" spans="1:12" x14ac:dyDescent="0.3">
      <c r="F54" t="s">
        <v>79</v>
      </c>
      <c r="G54">
        <v>0</v>
      </c>
      <c r="L54" t="s">
        <v>124</v>
      </c>
    </row>
    <row r="55" spans="1:12" x14ac:dyDescent="0.3">
      <c r="F55" t="s">
        <v>125</v>
      </c>
      <c r="G55">
        <v>0</v>
      </c>
      <c r="L55" t="s">
        <v>125</v>
      </c>
    </row>
    <row r="56" spans="1:12" x14ac:dyDescent="0.3">
      <c r="F56" t="s">
        <v>126</v>
      </c>
      <c r="G56">
        <v>0</v>
      </c>
      <c r="L56" t="s">
        <v>126</v>
      </c>
    </row>
    <row r="57" spans="1:12" x14ac:dyDescent="0.3">
      <c r="A57" t="s">
        <v>82</v>
      </c>
      <c r="B57" t="s">
        <v>83</v>
      </c>
      <c r="C57" t="s">
        <v>54</v>
      </c>
      <c r="F57" t="s">
        <v>81</v>
      </c>
      <c r="G57">
        <v>0</v>
      </c>
    </row>
    <row r="58" spans="1:12" x14ac:dyDescent="0.3">
      <c r="A58" t="s">
        <v>85</v>
      </c>
      <c r="B58" t="s">
        <v>83</v>
      </c>
      <c r="C58" t="s">
        <v>54</v>
      </c>
      <c r="F58" t="s">
        <v>84</v>
      </c>
      <c r="G58">
        <v>0</v>
      </c>
    </row>
    <row r="59" spans="1:12" x14ac:dyDescent="0.3">
      <c r="A59" t="s">
        <v>87</v>
      </c>
      <c r="B59" t="s">
        <v>83</v>
      </c>
      <c r="C59" t="s">
        <v>54</v>
      </c>
      <c r="F59" t="s">
        <v>86</v>
      </c>
      <c r="G59">
        <v>0</v>
      </c>
    </row>
    <row r="60" spans="1:12" x14ac:dyDescent="0.3">
      <c r="A60" t="s">
        <v>89</v>
      </c>
      <c r="B60" t="s">
        <v>83</v>
      </c>
      <c r="C60" t="s">
        <v>54</v>
      </c>
      <c r="F60" t="s">
        <v>88</v>
      </c>
      <c r="G60">
        <v>0</v>
      </c>
    </row>
  </sheetData>
  <autoFilter ref="A1:C17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"/>
  <sheetViews>
    <sheetView tabSelected="1" topLeftCell="S1" workbookViewId="0">
      <selection activeCell="G17" sqref="G17"/>
    </sheetView>
  </sheetViews>
  <sheetFormatPr defaultRowHeight="16.5" x14ac:dyDescent="0.3"/>
  <cols>
    <col min="1" max="1" width="29.75" customWidth="1"/>
    <col min="2" max="2" width="23.375" customWidth="1"/>
    <col min="3" max="3" width="26.25" customWidth="1"/>
    <col min="4" max="4" width="17.875" bestFit="1" customWidth="1"/>
    <col min="5" max="5" width="30" customWidth="1"/>
    <col min="6" max="6" width="28.25" customWidth="1"/>
    <col min="7" max="7" width="25.75" customWidth="1"/>
  </cols>
  <sheetData>
    <row r="1" spans="1:35" x14ac:dyDescent="0.3">
      <c r="A1" t="s">
        <v>150</v>
      </c>
      <c r="B1" t="s">
        <v>151</v>
      </c>
      <c r="C1" t="s">
        <v>227</v>
      </c>
      <c r="D1" t="s">
        <v>168</v>
      </c>
      <c r="E1" t="s">
        <v>228</v>
      </c>
      <c r="F1" t="s">
        <v>277</v>
      </c>
      <c r="G1" t="s">
        <v>276</v>
      </c>
      <c r="N1" t="s">
        <v>156</v>
      </c>
      <c r="O1" t="s">
        <v>216</v>
      </c>
      <c r="P1" t="s">
        <v>148</v>
      </c>
      <c r="R1" t="s">
        <v>199</v>
      </c>
      <c r="S1" t="s">
        <v>224</v>
      </c>
      <c r="T1" t="s">
        <v>223</v>
      </c>
      <c r="V1" s="7" t="s">
        <v>229</v>
      </c>
      <c r="W1" t="s">
        <v>240</v>
      </c>
      <c r="X1" t="s">
        <v>230</v>
      </c>
      <c r="Y1">
        <f>IF(X1="조명",580000,IF(X1="비조명",290000,0))</f>
        <v>290000</v>
      </c>
      <c r="AA1" t="s">
        <v>243</v>
      </c>
      <c r="AB1" t="s">
        <v>271</v>
      </c>
      <c r="AC1" t="s">
        <v>270</v>
      </c>
      <c r="AD1">
        <f>IF(AC1="조명",580000,IF(AC1="비조명",290000,0))</f>
        <v>580000</v>
      </c>
      <c r="AF1" t="s">
        <v>258</v>
      </c>
      <c r="AG1" t="s">
        <v>278</v>
      </c>
      <c r="AH1" t="s">
        <v>274</v>
      </c>
      <c r="AI1">
        <f>IF(AH1="조명",580000,IF(AH1="비조명",290000,0))</f>
        <v>580000</v>
      </c>
    </row>
    <row r="2" spans="1:35" x14ac:dyDescent="0.3">
      <c r="A2" t="s">
        <v>149</v>
      </c>
      <c r="B2" t="s">
        <v>199</v>
      </c>
      <c r="C2" t="s">
        <v>156</v>
      </c>
      <c r="D2" s="7" t="s">
        <v>169</v>
      </c>
      <c r="E2" s="7" t="s">
        <v>229</v>
      </c>
      <c r="F2" t="s">
        <v>243</v>
      </c>
      <c r="G2" t="s">
        <v>258</v>
      </c>
      <c r="K2" s="9" t="s">
        <v>180</v>
      </c>
      <c r="N2" t="s">
        <v>157</v>
      </c>
      <c r="O2" t="s">
        <v>216</v>
      </c>
      <c r="P2" t="s">
        <v>5</v>
      </c>
      <c r="R2" t="s">
        <v>215</v>
      </c>
      <c r="S2" t="s">
        <v>224</v>
      </c>
      <c r="T2" t="s">
        <v>223</v>
      </c>
      <c r="V2" s="7" t="s">
        <v>231</v>
      </c>
      <c r="W2" t="s">
        <v>240</v>
      </c>
      <c r="X2" t="s">
        <v>242</v>
      </c>
      <c r="Y2">
        <f>IF(X2="조명",580000,IF(X2="비조명",290000,0))</f>
        <v>580000</v>
      </c>
      <c r="AA2" t="s">
        <v>244</v>
      </c>
      <c r="AB2" t="s">
        <v>271</v>
      </c>
      <c r="AC2" t="s">
        <v>274</v>
      </c>
      <c r="AD2">
        <f>IF(AC2="조명",580000,IF(AC2="비조명",290000,0))</f>
        <v>580000</v>
      </c>
      <c r="AF2" t="s">
        <v>259</v>
      </c>
      <c r="AG2" t="s">
        <v>278</v>
      </c>
      <c r="AH2" t="s">
        <v>274</v>
      </c>
      <c r="AI2">
        <f>IF(AH2="조명",580000,IF(AH2="비조명",290000,0))</f>
        <v>580000</v>
      </c>
    </row>
    <row r="3" spans="1:35" x14ac:dyDescent="0.3">
      <c r="A3" t="s">
        <v>152</v>
      </c>
      <c r="B3" t="s">
        <v>215</v>
      </c>
      <c r="C3" t="s">
        <v>157</v>
      </c>
      <c r="D3" s="7" t="s">
        <v>167</v>
      </c>
      <c r="E3" s="7" t="s">
        <v>231</v>
      </c>
      <c r="F3" t="s">
        <v>244</v>
      </c>
      <c r="G3" t="s">
        <v>259</v>
      </c>
      <c r="K3" s="9" t="s">
        <v>181</v>
      </c>
      <c r="N3" t="s">
        <v>158</v>
      </c>
      <c r="O3" t="s">
        <v>216</v>
      </c>
      <c r="P3" t="s">
        <v>5</v>
      </c>
      <c r="R3" t="s">
        <v>200</v>
      </c>
      <c r="S3" t="s">
        <v>224</v>
      </c>
      <c r="T3" t="s">
        <v>223</v>
      </c>
      <c r="V3" s="7" t="s">
        <v>232</v>
      </c>
      <c r="W3" t="s">
        <v>240</v>
      </c>
      <c r="X3" t="s">
        <v>242</v>
      </c>
      <c r="Y3">
        <f>IF(X3="조명",580000,IF(X3="비조명",290000,0))</f>
        <v>580000</v>
      </c>
      <c r="AA3" t="s">
        <v>245</v>
      </c>
      <c r="AB3" t="s">
        <v>271</v>
      </c>
      <c r="AC3" t="s">
        <v>274</v>
      </c>
      <c r="AD3">
        <f>IF(AC3="조명",580000,IF(AC3="비조명",290000,0))</f>
        <v>580000</v>
      </c>
      <c r="AF3" t="s">
        <v>260</v>
      </c>
      <c r="AG3" t="s">
        <v>278</v>
      </c>
      <c r="AH3" t="s">
        <v>274</v>
      </c>
      <c r="AI3">
        <f>IF(AH3="조명",580000,IF(AH3="비조명",290000,0))</f>
        <v>580000</v>
      </c>
    </row>
    <row r="4" spans="1:35" x14ac:dyDescent="0.3">
      <c r="A4" t="s">
        <v>153</v>
      </c>
      <c r="B4" t="s">
        <v>200</v>
      </c>
      <c r="C4" t="s">
        <v>158</v>
      </c>
      <c r="D4" s="7" t="s">
        <v>170</v>
      </c>
      <c r="E4" s="7" t="s">
        <v>232</v>
      </c>
      <c r="F4" t="s">
        <v>245</v>
      </c>
      <c r="G4" t="s">
        <v>260</v>
      </c>
      <c r="K4" s="9" t="s">
        <v>182</v>
      </c>
      <c r="N4" t="s">
        <v>159</v>
      </c>
      <c r="O4" t="s">
        <v>217</v>
      </c>
      <c r="P4" t="s">
        <v>14</v>
      </c>
      <c r="R4" t="s">
        <v>201</v>
      </c>
      <c r="S4" t="s">
        <v>224</v>
      </c>
      <c r="T4" t="s">
        <v>223</v>
      </c>
      <c r="V4" s="7" t="s">
        <v>233</v>
      </c>
      <c r="W4" t="s">
        <v>240</v>
      </c>
      <c r="X4" t="s">
        <v>242</v>
      </c>
      <c r="Y4">
        <f>IF(X4="조명",580000,IF(X4="비조명",290000,0))</f>
        <v>580000</v>
      </c>
      <c r="AA4" t="s">
        <v>246</v>
      </c>
      <c r="AB4" t="s">
        <v>271</v>
      </c>
      <c r="AC4" t="s">
        <v>274</v>
      </c>
      <c r="AD4">
        <f>IF(AC4="조명",580000,IF(AC4="비조명",290000,0))</f>
        <v>580000</v>
      </c>
      <c r="AF4" t="s">
        <v>261</v>
      </c>
      <c r="AG4" t="s">
        <v>278</v>
      </c>
      <c r="AH4" t="s">
        <v>274</v>
      </c>
      <c r="AI4">
        <f>IF(AH4="조명",580000,IF(AH4="비조명",290000,0))</f>
        <v>580000</v>
      </c>
    </row>
    <row r="5" spans="1:35" x14ac:dyDescent="0.3">
      <c r="B5" t="s">
        <v>201</v>
      </c>
      <c r="C5" t="s">
        <v>159</v>
      </c>
      <c r="D5" s="7" t="s">
        <v>171</v>
      </c>
      <c r="E5" s="7" t="s">
        <v>233</v>
      </c>
      <c r="F5" t="s">
        <v>246</v>
      </c>
      <c r="G5" t="s">
        <v>261</v>
      </c>
      <c r="K5" s="9" t="s">
        <v>183</v>
      </c>
      <c r="N5" t="s">
        <v>160</v>
      </c>
      <c r="O5" t="s">
        <v>217</v>
      </c>
      <c r="P5" t="s">
        <v>5</v>
      </c>
      <c r="R5" t="s">
        <v>202</v>
      </c>
      <c r="S5" t="s">
        <v>225</v>
      </c>
      <c r="T5" t="s">
        <v>223</v>
      </c>
      <c r="V5" s="11" t="s">
        <v>234</v>
      </c>
      <c r="W5" t="s">
        <v>240</v>
      </c>
      <c r="X5" t="s">
        <v>242</v>
      </c>
      <c r="Y5">
        <f>IF(X5="조명",580000,IF(X5="비조명",290000,0))</f>
        <v>580000</v>
      </c>
      <c r="AA5" t="s">
        <v>247</v>
      </c>
      <c r="AB5" t="s">
        <v>271</v>
      </c>
      <c r="AC5" t="s">
        <v>274</v>
      </c>
      <c r="AD5">
        <f>IF(AC5="조명",580000,IF(AC5="비조명",290000,0))</f>
        <v>580000</v>
      </c>
      <c r="AF5" t="s">
        <v>262</v>
      </c>
      <c r="AG5" t="s">
        <v>273</v>
      </c>
      <c r="AH5" t="s">
        <v>274</v>
      </c>
      <c r="AI5">
        <f>IF(AH5="조명",580000,IF(AH5="비조명",290000,0))</f>
        <v>580000</v>
      </c>
    </row>
    <row r="6" spans="1:35" x14ac:dyDescent="0.3">
      <c r="B6" t="s">
        <v>202</v>
      </c>
      <c r="C6" t="s">
        <v>160</v>
      </c>
      <c r="D6" s="7"/>
      <c r="E6" s="11" t="s">
        <v>234</v>
      </c>
      <c r="F6" t="s">
        <v>247</v>
      </c>
      <c r="G6" t="s">
        <v>262</v>
      </c>
      <c r="N6" t="s">
        <v>161</v>
      </c>
      <c r="O6" t="s">
        <v>217</v>
      </c>
      <c r="P6" t="s">
        <v>5</v>
      </c>
      <c r="R6" t="s">
        <v>203</v>
      </c>
      <c r="S6" t="s">
        <v>225</v>
      </c>
      <c r="T6" t="s">
        <v>223</v>
      </c>
      <c r="V6" s="11" t="s">
        <v>235</v>
      </c>
      <c r="W6" t="s">
        <v>241</v>
      </c>
      <c r="X6" t="s">
        <v>242</v>
      </c>
      <c r="Y6">
        <f>IF(X6="조명",580000,IF(X6="비조명",290000,0))</f>
        <v>580000</v>
      </c>
      <c r="AA6" t="s">
        <v>248</v>
      </c>
      <c r="AB6" t="s">
        <v>271</v>
      </c>
      <c r="AC6" t="s">
        <v>274</v>
      </c>
      <c r="AD6">
        <f>IF(AC6="조명",580000,IF(AC6="비조명",290000,0))</f>
        <v>580000</v>
      </c>
      <c r="AF6" t="s">
        <v>263</v>
      </c>
      <c r="AG6" t="s">
        <v>273</v>
      </c>
      <c r="AH6" t="s">
        <v>274</v>
      </c>
      <c r="AI6">
        <f>IF(AH6="조명",580000,IF(AH6="비조명",290000,0))</f>
        <v>580000</v>
      </c>
    </row>
    <row r="7" spans="1:35" x14ac:dyDescent="0.3">
      <c r="B7" t="s">
        <v>203</v>
      </c>
      <c r="C7" t="s">
        <v>161</v>
      </c>
      <c r="D7" s="7"/>
      <c r="E7" s="11" t="s">
        <v>235</v>
      </c>
      <c r="F7" t="s">
        <v>248</v>
      </c>
      <c r="G7" t="s">
        <v>263</v>
      </c>
      <c r="K7" s="8" t="s">
        <v>184</v>
      </c>
      <c r="N7" t="s">
        <v>162</v>
      </c>
      <c r="O7" t="s">
        <v>217</v>
      </c>
      <c r="P7" t="s">
        <v>5</v>
      </c>
      <c r="R7" t="s">
        <v>154</v>
      </c>
      <c r="S7" t="s">
        <v>225</v>
      </c>
      <c r="T7" t="s">
        <v>223</v>
      </c>
      <c r="V7" s="11" t="s">
        <v>236</v>
      </c>
      <c r="W7" t="s">
        <v>241</v>
      </c>
      <c r="X7" t="s">
        <v>242</v>
      </c>
      <c r="Y7">
        <f>IF(X7="조명",580000,IF(X7="비조명",290000,0))</f>
        <v>580000</v>
      </c>
      <c r="AA7" t="s">
        <v>249</v>
      </c>
      <c r="AB7" t="s">
        <v>271</v>
      </c>
      <c r="AC7" t="s">
        <v>274</v>
      </c>
      <c r="AD7">
        <f>IF(AC7="조명",580000,IF(AC7="비조명",290000,0))</f>
        <v>580000</v>
      </c>
      <c r="AF7" t="s">
        <v>264</v>
      </c>
      <c r="AG7" t="s">
        <v>273</v>
      </c>
      <c r="AH7" t="s">
        <v>274</v>
      </c>
      <c r="AI7">
        <f>IF(AH7="조명",580000,IF(AH7="비조명",290000,0))</f>
        <v>580000</v>
      </c>
    </row>
    <row r="8" spans="1:35" x14ac:dyDescent="0.3">
      <c r="B8" t="s">
        <v>154</v>
      </c>
      <c r="C8" t="s">
        <v>162</v>
      </c>
      <c r="D8" s="7"/>
      <c r="E8" s="11" t="s">
        <v>236</v>
      </c>
      <c r="F8" t="s">
        <v>249</v>
      </c>
      <c r="G8" t="s">
        <v>264</v>
      </c>
      <c r="K8" s="8" t="s">
        <v>185</v>
      </c>
      <c r="N8" t="s">
        <v>163</v>
      </c>
      <c r="O8" t="s">
        <v>218</v>
      </c>
      <c r="P8" t="s">
        <v>5</v>
      </c>
      <c r="R8" t="s">
        <v>204</v>
      </c>
      <c r="S8" t="s">
        <v>225</v>
      </c>
      <c r="T8" t="s">
        <v>223</v>
      </c>
      <c r="V8" t="s">
        <v>237</v>
      </c>
      <c r="W8" t="s">
        <v>241</v>
      </c>
      <c r="X8" t="s">
        <v>242</v>
      </c>
      <c r="Y8">
        <f>IF(X8="조명",580000,IF(X8="비조명",290000,0))</f>
        <v>580000</v>
      </c>
      <c r="AA8" t="s">
        <v>250</v>
      </c>
      <c r="AB8" t="s">
        <v>271</v>
      </c>
      <c r="AC8" t="s">
        <v>274</v>
      </c>
      <c r="AD8">
        <f>IF(AC8="조명",580000,IF(AC8="비조명",290000,0))</f>
        <v>580000</v>
      </c>
      <c r="AF8" t="s">
        <v>265</v>
      </c>
      <c r="AG8" t="s">
        <v>273</v>
      </c>
      <c r="AH8" t="s">
        <v>274</v>
      </c>
      <c r="AI8">
        <f>IF(AH8="조명",580000,IF(AH8="비조명",290000,0))</f>
        <v>580000</v>
      </c>
    </row>
    <row r="9" spans="1:35" x14ac:dyDescent="0.3">
      <c r="B9" t="s">
        <v>204</v>
      </c>
      <c r="C9" t="s">
        <v>163</v>
      </c>
      <c r="D9" s="8"/>
      <c r="E9" t="s">
        <v>237</v>
      </c>
      <c r="F9" t="s">
        <v>250</v>
      </c>
      <c r="G9" t="s">
        <v>265</v>
      </c>
      <c r="K9" s="8" t="s">
        <v>186</v>
      </c>
      <c r="N9" t="s">
        <v>164</v>
      </c>
      <c r="O9" t="s">
        <v>218</v>
      </c>
      <c r="P9" t="s">
        <v>5</v>
      </c>
      <c r="R9" t="s">
        <v>205</v>
      </c>
      <c r="S9" t="s">
        <v>225</v>
      </c>
      <c r="T9" t="s">
        <v>223</v>
      </c>
      <c r="V9" t="s">
        <v>238</v>
      </c>
      <c r="W9" t="s">
        <v>241</v>
      </c>
      <c r="X9" t="s">
        <v>242</v>
      </c>
      <c r="Y9">
        <f>IF(X9="조명",580000,IF(X9="비조명",290000,0))</f>
        <v>580000</v>
      </c>
      <c r="AA9" t="s">
        <v>251</v>
      </c>
      <c r="AB9" t="s">
        <v>271</v>
      </c>
      <c r="AC9" t="s">
        <v>274</v>
      </c>
      <c r="AD9">
        <f>IF(AC9="조명",580000,IF(AC9="비조명",290000,0))</f>
        <v>580000</v>
      </c>
      <c r="AF9" t="s">
        <v>266</v>
      </c>
      <c r="AG9" t="s">
        <v>273</v>
      </c>
      <c r="AH9" t="s">
        <v>274</v>
      </c>
      <c r="AI9">
        <f>IF(AH9="조명",580000,IF(AH9="비조명",290000,0))</f>
        <v>580000</v>
      </c>
    </row>
    <row r="10" spans="1:35" x14ac:dyDescent="0.3">
      <c r="B10" t="s">
        <v>205</v>
      </c>
      <c r="C10" t="s">
        <v>164</v>
      </c>
      <c r="D10" s="8"/>
      <c r="E10" t="s">
        <v>238</v>
      </c>
      <c r="F10" t="s">
        <v>251</v>
      </c>
      <c r="G10" t="s">
        <v>266</v>
      </c>
      <c r="K10" s="8" t="s">
        <v>187</v>
      </c>
      <c r="N10" t="s">
        <v>165</v>
      </c>
      <c r="O10" t="s">
        <v>218</v>
      </c>
      <c r="P10" t="s">
        <v>5</v>
      </c>
      <c r="R10" t="s">
        <v>206</v>
      </c>
      <c r="S10" t="s">
        <v>225</v>
      </c>
      <c r="T10" t="s">
        <v>223</v>
      </c>
      <c r="V10" t="s">
        <v>239</v>
      </c>
      <c r="W10" t="s">
        <v>241</v>
      </c>
      <c r="X10" t="s">
        <v>242</v>
      </c>
      <c r="Y10">
        <f>IF(X10="조명",580000,IF(X10="비조명",290000,0))</f>
        <v>580000</v>
      </c>
      <c r="AA10" t="s">
        <v>252</v>
      </c>
      <c r="AB10" t="s">
        <v>271</v>
      </c>
      <c r="AC10" t="s">
        <v>274</v>
      </c>
      <c r="AD10">
        <f>IF(AC10="조명",580000,IF(AC10="비조명",290000,0))</f>
        <v>580000</v>
      </c>
      <c r="AF10" t="s">
        <v>267</v>
      </c>
      <c r="AG10" t="s">
        <v>273</v>
      </c>
      <c r="AH10" t="s">
        <v>274</v>
      </c>
      <c r="AI10">
        <f>IF(AH10="조명",580000,IF(AH10="비조명",290000,0))</f>
        <v>580000</v>
      </c>
    </row>
    <row r="11" spans="1:35" x14ac:dyDescent="0.3">
      <c r="B11" t="s">
        <v>206</v>
      </c>
      <c r="C11" t="s">
        <v>165</v>
      </c>
      <c r="D11" s="8"/>
      <c r="E11" t="s">
        <v>239</v>
      </c>
      <c r="F11" t="s">
        <v>252</v>
      </c>
      <c r="G11" t="s">
        <v>267</v>
      </c>
      <c r="K11" s="8" t="s">
        <v>188</v>
      </c>
      <c r="N11" t="s">
        <v>166</v>
      </c>
      <c r="O11" t="s">
        <v>218</v>
      </c>
      <c r="P11" t="s">
        <v>5</v>
      </c>
      <c r="R11" t="s">
        <v>207</v>
      </c>
      <c r="S11" t="s">
        <v>225</v>
      </c>
      <c r="T11" t="s">
        <v>223</v>
      </c>
      <c r="AA11" t="s">
        <v>253</v>
      </c>
      <c r="AB11" t="s">
        <v>272</v>
      </c>
      <c r="AC11" t="s">
        <v>274</v>
      </c>
      <c r="AD11">
        <f>IF(AC11="조명",580000,IF(AC11="비조명",290000,0))</f>
        <v>580000</v>
      </c>
      <c r="AF11" t="s">
        <v>268</v>
      </c>
      <c r="AG11" t="s">
        <v>273</v>
      </c>
      <c r="AH11" t="s">
        <v>274</v>
      </c>
      <c r="AI11">
        <f>IF(AH11="조명",580000,IF(AH11="비조명",290000,0))</f>
        <v>580000</v>
      </c>
    </row>
    <row r="12" spans="1:35" x14ac:dyDescent="0.3">
      <c r="B12" t="s">
        <v>207</v>
      </c>
      <c r="C12" t="s">
        <v>166</v>
      </c>
      <c r="D12" s="8"/>
      <c r="F12" t="s">
        <v>253</v>
      </c>
      <c r="G12" t="s">
        <v>268</v>
      </c>
      <c r="K12" s="8" t="s">
        <v>189</v>
      </c>
      <c r="N12" t="s">
        <v>172</v>
      </c>
      <c r="O12" t="s">
        <v>219</v>
      </c>
      <c r="P12" t="s">
        <v>5</v>
      </c>
      <c r="R12" t="s">
        <v>155</v>
      </c>
      <c r="S12" t="s">
        <v>225</v>
      </c>
      <c r="T12" t="s">
        <v>223</v>
      </c>
      <c r="AA12" t="s">
        <v>254</v>
      </c>
      <c r="AB12" t="s">
        <v>273</v>
      </c>
      <c r="AC12" t="s">
        <v>274</v>
      </c>
      <c r="AD12">
        <f>IF(AC12="조명",580000,IF(AC12="비조명",290000,0))</f>
        <v>580000</v>
      </c>
      <c r="AF12" t="s">
        <v>269</v>
      </c>
      <c r="AG12" t="s">
        <v>273</v>
      </c>
      <c r="AH12" t="s">
        <v>274</v>
      </c>
      <c r="AI12">
        <f>IF(AH12="조명",580000,IF(AH12="비조명",290000,0))</f>
        <v>580000</v>
      </c>
    </row>
    <row r="13" spans="1:35" x14ac:dyDescent="0.3">
      <c r="B13" t="s">
        <v>155</v>
      </c>
      <c r="C13" t="s">
        <v>172</v>
      </c>
      <c r="D13" s="8"/>
      <c r="F13" t="s">
        <v>254</v>
      </c>
      <c r="G13" t="s">
        <v>269</v>
      </c>
      <c r="K13" s="8" t="s">
        <v>190</v>
      </c>
      <c r="N13" t="s">
        <v>173</v>
      </c>
      <c r="O13" t="s">
        <v>219</v>
      </c>
      <c r="P13" t="s">
        <v>222</v>
      </c>
      <c r="R13" t="s">
        <v>208</v>
      </c>
      <c r="S13" t="s">
        <v>225</v>
      </c>
      <c r="T13" t="s">
        <v>223</v>
      </c>
      <c r="AA13" t="s">
        <v>255</v>
      </c>
      <c r="AB13" t="s">
        <v>273</v>
      </c>
      <c r="AC13" t="s">
        <v>274</v>
      </c>
      <c r="AD13">
        <f>IF(AC13="조명",580000,IF(AC13="비조명",290000,0))</f>
        <v>580000</v>
      </c>
    </row>
    <row r="14" spans="1:35" x14ac:dyDescent="0.3">
      <c r="B14" t="s">
        <v>208</v>
      </c>
      <c r="C14" t="s">
        <v>173</v>
      </c>
      <c r="D14" s="8"/>
      <c r="F14" t="s">
        <v>255</v>
      </c>
      <c r="K14" s="8" t="s">
        <v>191</v>
      </c>
      <c r="N14" t="s">
        <v>174</v>
      </c>
      <c r="O14" t="s">
        <v>219</v>
      </c>
      <c r="P14" t="s">
        <v>5</v>
      </c>
      <c r="R14" t="s">
        <v>209</v>
      </c>
      <c r="S14" t="s">
        <v>225</v>
      </c>
      <c r="T14" t="s">
        <v>223</v>
      </c>
      <c r="AA14" t="s">
        <v>256</v>
      </c>
      <c r="AB14" t="s">
        <v>273</v>
      </c>
      <c r="AC14" t="s">
        <v>274</v>
      </c>
      <c r="AD14">
        <f>IF(AC14="조명",580000,IF(AC14="비조명",290000,0))</f>
        <v>580000</v>
      </c>
    </row>
    <row r="15" spans="1:35" x14ac:dyDescent="0.3">
      <c r="B15" t="s">
        <v>209</v>
      </c>
      <c r="C15" t="s">
        <v>174</v>
      </c>
      <c r="D15" s="8"/>
      <c r="F15" t="s">
        <v>256</v>
      </c>
      <c r="K15" s="8" t="s">
        <v>192</v>
      </c>
      <c r="N15" t="s">
        <v>175</v>
      </c>
      <c r="O15" t="s">
        <v>219</v>
      </c>
      <c r="P15" t="s">
        <v>5</v>
      </c>
      <c r="R15" t="s">
        <v>210</v>
      </c>
      <c r="S15" t="s">
        <v>226</v>
      </c>
      <c r="T15" t="s">
        <v>223</v>
      </c>
      <c r="AA15" t="s">
        <v>257</v>
      </c>
      <c r="AB15" t="s">
        <v>273</v>
      </c>
      <c r="AC15" t="s">
        <v>275</v>
      </c>
      <c r="AD15">
        <f>IF(AC15="조명",580000,IF(AC15="비조명",290000,0))</f>
        <v>580000</v>
      </c>
    </row>
    <row r="16" spans="1:35" x14ac:dyDescent="0.3">
      <c r="B16" t="s">
        <v>210</v>
      </c>
      <c r="C16" t="s">
        <v>175</v>
      </c>
      <c r="D16" s="8"/>
      <c r="F16" t="s">
        <v>257</v>
      </c>
      <c r="K16" s="8" t="s">
        <v>193</v>
      </c>
      <c r="N16" t="s">
        <v>176</v>
      </c>
      <c r="O16" t="s">
        <v>220</v>
      </c>
      <c r="P16" t="s">
        <v>5</v>
      </c>
      <c r="R16" t="s">
        <v>211</v>
      </c>
      <c r="S16" t="s">
        <v>226</v>
      </c>
      <c r="T16" t="s">
        <v>223</v>
      </c>
    </row>
    <row r="17" spans="2:20" x14ac:dyDescent="0.3">
      <c r="B17" t="s">
        <v>211</v>
      </c>
      <c r="C17" t="s">
        <v>176</v>
      </c>
      <c r="D17" s="8"/>
      <c r="N17" t="s">
        <v>177</v>
      </c>
      <c r="O17" t="s">
        <v>220</v>
      </c>
      <c r="P17" t="s">
        <v>5</v>
      </c>
      <c r="R17" t="s">
        <v>212</v>
      </c>
      <c r="S17" t="s">
        <v>226</v>
      </c>
      <c r="T17" t="s">
        <v>223</v>
      </c>
    </row>
    <row r="18" spans="2:20" x14ac:dyDescent="0.3">
      <c r="B18" t="s">
        <v>212</v>
      </c>
      <c r="C18" t="s">
        <v>177</v>
      </c>
      <c r="D18" s="8"/>
      <c r="K18" s="7" t="s">
        <v>194</v>
      </c>
      <c r="N18" t="s">
        <v>178</v>
      </c>
      <c r="O18" t="s">
        <v>220</v>
      </c>
      <c r="P18" t="s">
        <v>221</v>
      </c>
      <c r="R18" t="s">
        <v>213</v>
      </c>
      <c r="S18" t="s">
        <v>226</v>
      </c>
      <c r="T18" t="s">
        <v>223</v>
      </c>
    </row>
    <row r="19" spans="2:20" x14ac:dyDescent="0.3">
      <c r="B19" t="s">
        <v>213</v>
      </c>
      <c r="C19" t="s">
        <v>178</v>
      </c>
      <c r="D19" s="7"/>
      <c r="K19" s="9" t="s">
        <v>195</v>
      </c>
      <c r="N19" t="s">
        <v>179</v>
      </c>
      <c r="O19" t="s">
        <v>220</v>
      </c>
      <c r="P19" t="s">
        <v>5</v>
      </c>
      <c r="R19" t="s">
        <v>214</v>
      </c>
      <c r="S19" t="s">
        <v>226</v>
      </c>
      <c r="T19" t="s">
        <v>223</v>
      </c>
    </row>
    <row r="20" spans="2:20" x14ac:dyDescent="0.3">
      <c r="B20" t="s">
        <v>214</v>
      </c>
      <c r="C20" t="s">
        <v>179</v>
      </c>
      <c r="D20" s="7"/>
      <c r="K20" s="9" t="s">
        <v>196</v>
      </c>
    </row>
    <row r="21" spans="2:20" x14ac:dyDescent="0.3">
      <c r="D21" s="7"/>
      <c r="K21" s="9" t="s">
        <v>197</v>
      </c>
    </row>
    <row r="22" spans="2:20" x14ac:dyDescent="0.3">
      <c r="D22" s="7"/>
      <c r="K22" s="10" t="s">
        <v>198</v>
      </c>
    </row>
    <row r="23" spans="2:20" x14ac:dyDescent="0.3">
      <c r="D23" s="7"/>
    </row>
    <row r="24" spans="2:20" x14ac:dyDescent="0.3">
      <c r="D24" s="7"/>
    </row>
    <row r="25" spans="2:20" x14ac:dyDescent="0.3">
      <c r="D25" s="7"/>
    </row>
    <row r="26" spans="2:20" x14ac:dyDescent="0.3">
      <c r="D26" s="7"/>
    </row>
    <row r="27" spans="2:20" x14ac:dyDescent="0.3">
      <c r="D27" s="9"/>
    </row>
    <row r="28" spans="2:20" x14ac:dyDescent="0.3">
      <c r="D28" s="9"/>
    </row>
    <row r="29" spans="2:20" x14ac:dyDescent="0.3">
      <c r="D29" s="9"/>
    </row>
    <row r="30" spans="2:20" x14ac:dyDescent="0.3">
      <c r="D30" s="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3월 정산</vt:lpstr>
      <vt:lpstr>4월 정산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박수경</cp:lastModifiedBy>
  <dcterms:created xsi:type="dcterms:W3CDTF">2006-09-16T00:00:00Z</dcterms:created>
  <dcterms:modified xsi:type="dcterms:W3CDTF">2026-04-18T02:49:13Z</dcterms:modified>
</cp:coreProperties>
</file>